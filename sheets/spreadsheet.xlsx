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UpdatesRepairs Log" sheetId="1" r:id="rId4"/>
    <sheet state="visible" name="J&amp;J Fleet" sheetId="2" r:id="rId5"/>
    <sheet state="visible" name="DM Fleet" sheetId="3" r:id="rId6"/>
    <sheet state="visible" name="Copy of DM Fleet" sheetId="4" r:id="rId7"/>
    <sheet state="visible" name="DM Pivot" sheetId="5" r:id="rId8"/>
    <sheet state="visible" name="CAH Service UpdatesRepairs Log" sheetId="6" r:id="rId9"/>
    <sheet state="visible" name="CAH Fleet" sheetId="7" r:id="rId10"/>
    <sheet state="visible" name="Demo Sheet" sheetId="8" r:id="rId11"/>
  </sheets>
  <definedNames>
    <definedName hidden="1" localSheetId="2" name="_xlnm._FilterDatabase">'DM Fleet'!$A$1:$Q$449</definedName>
    <definedName hidden="1" localSheetId="4" name="_xlnm._FilterDatabase">'DM Pivot'!$A$2:$E$6</definedName>
    <definedName hidden="1" localSheetId="6" name="_xlnm._FilterDatabase">'CAH Fleet'!$A$1:$N$21</definedName>
  </definedNames>
  <calcPr/>
  <pivotCaches>
    <pivotCache cacheId="0" r:id="rId1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8 digit Timestamp instead of dates for granularity</t>
      </text>
    </comment>
    <comment authorId="0" ref="D3">
      <text>
        <t xml:space="preserve">Quant variable for location is as follows:
In house = 001
Cust Site = 100-999</t>
      </text>
    </comment>
    <comment authorId="0" ref="E3">
      <text>
        <t xml:space="preserve">One new row for each bot</t>
      </text>
    </comment>
    <comment authorId="0" ref="F3">
      <text>
        <t xml:space="preserve">Quant variable for location is as follows:
In house = 001
Cust Site = 100-999</t>
      </text>
    </comment>
    <comment authorId="0" ref="G3">
      <text>
        <t xml:space="preserve">Diagnostic classification:
100 = Battery 
200 = Minor Hardware 
300 = Major Hardware
400 = Shelf
500 = Bottom Module
600 = Top Module
700 = Other Assembly
800 = Firmware
900 = Software
600-1: Loose Broken Exterior Top Mod part, no wire repair.
600-2: Loose/Broken Exterior Top Mod part WITH wire repair
600-3: Loose/Broken Interior Top Mod part, no wire repair
600-4: Loose/Broken Interior Top Mod part WITH wire repair
500-1: Loose/Broken Exterior Bottom Mod part, no wire repair
500-2: Loose/Broken Exterior Bottom Mod part WITH wire repair
500-3: Loose/Broken Interior Bottom Mod part, no wire repair
500-4: Loose/Broken Interior Bottom Mod part WITH wire repair
300-1: Loose/Broken Harness
700-1: Loose/Broken Router
300-2: Loose/Broken Caster
700-2: Loose/Broken Caster Support
300-3: Loose/Broken Drive Wheel
700-3: Loose/Broken Drive Wheel Assembly
700-4: Untenable Router/Server Communications Hardware
300-4: Untenable SBC Hardware
// Everything else follows above conventions
Untenable LIDAR Hardware
Untenable Perception Hardware
Untenable SICK Hardware
Untenable Main Board Hardware,
Untenable Blue Light Hardware
Untenable Hardware, Other
Untenable Shelf Hardware
Untenable Corner Board Hardware
Untenable Battery Hardware
Untenable Router/Server Communications Firmware
Untenable SBC Firmware
Untenable LIDAR Firmware
Untenable Perception Firmware
Untenable SICK Firmware
Untenable Main Board Firmware,
Untenable Firmware, Other
Untenable Shelf Firmware
Untenable Corner Board Firmware 
Light Cosmetic Shelf Damage
Medium Cosmetic Shelf Damage
Severe Cosmetic Shelf Damage
Light Cosmetic Bottom Module Damage
Medium Cosmetic Bottom Module Damage
Severe Cosmetic Bottom Module Damage
Communication Hardware Short
LIDAR Hardware Short
Perception Hardware Short
Battery Hardware Short
Unknown Electrical Short
</t>
      </text>
    </comment>
    <comment authorId="0" ref="H3">
      <text>
        <t xml:space="preserve">Documented=1
Low Priority = 2
High Priority = 3
Example: SeverityCode=2
</t>
      </text>
    </comment>
    <comment authorId="0" ref="I3">
      <text>
        <t xml:space="preserve">100 = Battery 
200 = Minor Hardware 
300 = Major Hardware
400 = Shelf
500 = Bottom Module
600 = Top Module
700 = Other Assembly
800 = Firmware
900 = Software
(Lidar, Router and Sick Modules fall under other assembly)
Example: Replace Torx screws:
FixCode: 200-00976</t>
      </text>
    </comment>
  </commentList>
</comments>
</file>

<file path=xl/sharedStrings.xml><?xml version="1.0" encoding="utf-8"?>
<sst xmlns="http://schemas.openxmlformats.org/spreadsheetml/2006/main" count="6073" uniqueCount="374">
  <si>
    <t>Future Service Updates / Repairs</t>
  </si>
  <si>
    <t>TIMESTAMP</t>
  </si>
  <si>
    <t>Ticket #</t>
  </si>
  <si>
    <t>Date  Created</t>
  </si>
  <si>
    <t>Location</t>
  </si>
  <si>
    <t>Bot</t>
  </si>
  <si>
    <t>Column 5</t>
  </si>
  <si>
    <t>Observation</t>
  </si>
  <si>
    <t>Severity</t>
  </si>
  <si>
    <t xml:space="preserve"> Possible Solution</t>
  </si>
  <si>
    <t>Comment</t>
  </si>
  <si>
    <t>DM</t>
  </si>
  <si>
    <t>E-Stop Switch loosened / backed out in housing</t>
  </si>
  <si>
    <t xml:space="preserve">Documented </t>
  </si>
  <si>
    <t>Add lock washer</t>
  </si>
  <si>
    <t>Onsite at DM for addition of E-Stop lock washer on bot# 428 scheduled for Thur. 3.20.25</t>
  </si>
  <si>
    <t>Multiple</t>
  </si>
  <si>
    <t>Grab handle switch housing has an inconsistent fitment on grab bar causing loosness or minor rotation.</t>
  </si>
  <si>
    <t>Insert new printed anti-rotation parts</t>
  </si>
  <si>
    <t>Completed in-house updates 3.6.25</t>
  </si>
  <si>
    <t>414-448</t>
  </si>
  <si>
    <t>Onsite at DM for WiFi Card Replacement on bot# 417 scheduled for Thur. 3.20.25</t>
  </si>
  <si>
    <t>Possible HW issue with WiFi card</t>
  </si>
  <si>
    <t>Replace WiFi card</t>
  </si>
  <si>
    <t xml:space="preserve">"Manual mode" push button inoperable </t>
  </si>
  <si>
    <t xml:space="preserve">Broken shelf clamps </t>
  </si>
  <si>
    <t>E-Stop (spins in place) Switch loosened / backed out in housing</t>
  </si>
  <si>
    <t>Completed</t>
  </si>
  <si>
    <t xml:space="preserve">DM </t>
  </si>
  <si>
    <t xml:space="preserve">Failed hot-swap. </t>
  </si>
  <si>
    <t>Evaluate SLAs, replace SLAs if out of spec</t>
  </si>
  <si>
    <t>Possible Motor phase / Poss encoder issue</t>
  </si>
  <si>
    <t>Evaluate Motor - A side</t>
  </si>
  <si>
    <t>Attempted to Re-phase motors - resulted in Bravo side failure. Determined possible encoder or read-head issue. Awaiting further disposition and inventory of rocker arm assembly for replacement.</t>
  </si>
  <si>
    <t>RGo Replacement Campaign</t>
  </si>
  <si>
    <t>Replace camera subassembly</t>
  </si>
  <si>
    <t>T10 driver bit, stubby driver handle, PH1 screw driver, 1/4" bit low profile ratchet</t>
  </si>
  <si>
    <t>Possible Motor phase</t>
  </si>
  <si>
    <t>Rephase Golden Motors</t>
  </si>
  <si>
    <t>Manual Mode Button not operating - feels as if operator is pushing bot with brakes on.</t>
  </si>
  <si>
    <t>Open handle - check connection. Replace manual button</t>
  </si>
  <si>
    <t>All</t>
  </si>
  <si>
    <t>Retro E-Stops with lock washers</t>
  </si>
  <si>
    <t>Evaluate all bots onsite - open E-Stop handles</t>
  </si>
  <si>
    <t>Possible RGo perf issue</t>
  </si>
  <si>
    <t>Replace Jaguar Board</t>
  </si>
  <si>
    <t>Turns off right after powering on</t>
  </si>
  <si>
    <t>Possible - Replace coin cell on logic card</t>
  </si>
  <si>
    <t>Possible corner board issue - use compressed air to clean and inspect for finger prints or smudging on corner board lenses.</t>
  </si>
  <si>
    <t>Bot sees ghosts. Possible corner board issue - use compressed air to clean and inspect for finger prints or smudging on corner board lenses.</t>
  </si>
  <si>
    <t>Bot powered off shortly after powering on. Possible user error - due to "long press".</t>
  </si>
  <si>
    <t>Observe and track 424 power functionality</t>
  </si>
  <si>
    <t>E-Stop rotating in housing</t>
  </si>
  <si>
    <t>Install lock washers</t>
  </si>
  <si>
    <t>Sensory - "lawnmower" noise. Battery - powers off shortly after powering on.</t>
  </si>
  <si>
    <t>Center HMI on both sides not functioning correctly and off track</t>
  </si>
  <si>
    <t>Undesireable contact incident - Ticket created</t>
  </si>
  <si>
    <t xml:space="preserve">Inspect for damage </t>
  </si>
  <si>
    <t xml:space="preserve">Missing Bot number flag and top cap </t>
  </si>
  <si>
    <t>Replace top cap and number flag</t>
  </si>
  <si>
    <t>Fleet</t>
  </si>
  <si>
    <t>Retrofit - E Stop</t>
  </si>
  <si>
    <t>Upgrade entire fleet with lighted E Stop buttons (4x ea)</t>
  </si>
  <si>
    <t>Retrofit -  Safety system -Tengar cable</t>
  </si>
  <si>
    <t>Upgrade SICK Safety modules with Tengar cable to create unique corner light sequencing associated with new E Stop function</t>
  </si>
  <si>
    <t xml:space="preserve">Firmware flashing - SICK Safety and Logic Card </t>
  </si>
  <si>
    <t>Cracked corner board lense</t>
  </si>
  <si>
    <t>Low Priority</t>
  </si>
  <si>
    <t>Replace corner board lense</t>
  </si>
  <si>
    <t>Battery - "popping out" on its own. DM STL channel</t>
  </si>
  <si>
    <t>Inspect battery latch and alignment. Make adjustments if neccessary.</t>
  </si>
  <si>
    <t>Sarah reports in Slack - operational beeping is sounding like an "injured animal"</t>
  </si>
  <si>
    <t xml:space="preserve">Evaluate purple lidar plate and speaker for loose mounting screws and excessive vibration.  </t>
  </si>
  <si>
    <t>E-stop remains illuminated when depressed</t>
  </si>
  <si>
    <t>Unable to replicate condition</t>
  </si>
  <si>
    <t>E-stop lights flickering.</t>
  </si>
  <si>
    <t>Rear E-stop lights flickering.</t>
  </si>
  <si>
    <t>Rear E-stop lights flickering while bot powered on.</t>
  </si>
  <si>
    <t>Harness connections adjusted and ground wire replaced.</t>
  </si>
  <si>
    <t>SICK Safety Lidar in fault state</t>
  </si>
  <si>
    <t xml:space="preserve">cleaning </t>
  </si>
  <si>
    <t>Unidentified motor issue</t>
  </si>
  <si>
    <t>Difficulty phasing however resulted successfully</t>
  </si>
  <si>
    <t>"Bad" IMU (inertial measurement unit) in RGo camera</t>
  </si>
  <si>
    <t>replacement shipped to hotel for replacement</t>
  </si>
  <si>
    <t>Crate for return to Pittsburgh</t>
  </si>
  <si>
    <t>Audible traveling beeping is not working</t>
  </si>
  <si>
    <t>Top module - 2nd shelf is not working (Cenker 6:06a)</t>
  </si>
  <si>
    <t>Corner lens and skins damaged</t>
  </si>
  <si>
    <t>Broken lower shelf clamp</t>
  </si>
  <si>
    <t>Lower shelf HMI damage and missing HMI corner stop.</t>
  </si>
  <si>
    <t xml:space="preserve">Blue safety light - loose (swivel) </t>
  </si>
  <si>
    <t>E-Stop handle satbilizers need evaluation</t>
  </si>
  <si>
    <t>Missing ID flag</t>
  </si>
  <si>
    <t>Timestamp</t>
  </si>
  <si>
    <t>Bots</t>
  </si>
  <si>
    <t>Customer</t>
  </si>
  <si>
    <t>Date Entered</t>
  </si>
  <si>
    <t>Address</t>
  </si>
  <si>
    <t>Top Mod Configuration</t>
  </si>
  <si>
    <t>Event Type</t>
  </si>
  <si>
    <t>Main Group</t>
  </si>
  <si>
    <t>Subset</t>
  </si>
  <si>
    <t>Observation / Service Request</t>
  </si>
  <si>
    <t>Status</t>
  </si>
  <si>
    <t>Date Completed</t>
  </si>
  <si>
    <t>Classification</t>
  </si>
  <si>
    <t>Activity Comments</t>
  </si>
  <si>
    <t>New Configuration</t>
  </si>
  <si>
    <t>Time (min)</t>
  </si>
  <si>
    <t>Technicians</t>
  </si>
  <si>
    <t>Tools</t>
  </si>
  <si>
    <t>Parts Replacement</t>
  </si>
  <si>
    <t>Column 2</t>
  </si>
  <si>
    <t>JJ</t>
  </si>
  <si>
    <t>4 Shelf Configuration</t>
  </si>
  <si>
    <t>Deployment</t>
  </si>
  <si>
    <t>Complete</t>
  </si>
  <si>
    <t>In Service</t>
  </si>
  <si>
    <t>Deployment Date</t>
  </si>
  <si>
    <t>Comments</t>
  </si>
  <si>
    <t>Column 1</t>
  </si>
  <si>
    <t>1001 Premier Pkwy, St Peters, MO 63376</t>
  </si>
  <si>
    <t>2 Shelf Configuration</t>
  </si>
  <si>
    <t>Campaign</t>
  </si>
  <si>
    <t>Top Module</t>
  </si>
  <si>
    <t>Handle</t>
  </si>
  <si>
    <t>Retrofit, Install handle stabilizer</t>
  </si>
  <si>
    <t xml:space="preserve">2x stabilizers installed (14min) </t>
  </si>
  <si>
    <t>Platform</t>
  </si>
  <si>
    <t>Firmware</t>
  </si>
  <si>
    <t>Retrofit. Update SICK Safety and Logic Card firmware</t>
  </si>
  <si>
    <t xml:space="preserve">12v cordless Impact drill, right angle drill attachment, T20 Torx bit, Logic Card serial cable, Laptop, </t>
  </si>
  <si>
    <t>Platform, Top Module</t>
  </si>
  <si>
    <t>E-Stops</t>
  </si>
  <si>
    <t>Retrofit. Upgrade bot's safety system with lighted E-Stops (4ea)</t>
  </si>
  <si>
    <t>12v cordless Impact drill, right angle drill attachment, T20 Torx bit, T20 Torx extended bit, long nose locking pliers, stubby handle driver, T10 Torx driver, knee pad</t>
  </si>
  <si>
    <t>Service</t>
  </si>
  <si>
    <t>Motor</t>
  </si>
  <si>
    <t>Hall Effect Sensor Test</t>
  </si>
  <si>
    <t>All 6 LEDs are illuminating and displaying signal communication.</t>
  </si>
  <si>
    <t>12v cordless impact drill, right angle drill attachment, T20 Torx bit, stubby handle driver, 3/16" flathead screwdriver bit, knee pad</t>
  </si>
  <si>
    <t>Retrofit. Update Logic Card firmware</t>
  </si>
  <si>
    <t>Newest version flashed (0.10.1 version)</t>
  </si>
  <si>
    <t>Retrofit. Update HMIs firmware</t>
  </si>
  <si>
    <t>Newest version flashed (0.8.0 version)</t>
  </si>
  <si>
    <t>Blue Safety Light</t>
  </si>
  <si>
    <t>Retrofit. Blue Safety Light lock washer install and positioning.</t>
  </si>
  <si>
    <t>Position Blue Light at a standardized 4ft projection an add 2x lock washers for stability.</t>
  </si>
  <si>
    <t>Stubby driver handle, T30 Torx bit, #2 Phillips driver bit, 3D printed positioning fixture (4ft)</t>
  </si>
  <si>
    <t>1002 Premier Pkwy, St Peters, MO 63376</t>
  </si>
  <si>
    <t xml:space="preserve">2x stabilizers installed (15min) </t>
  </si>
  <si>
    <t>HMI</t>
  </si>
  <si>
    <t xml:space="preserve">Center HMI position not functioning on each side. Evaluate and service top mod - center HMIs - **single position not functioning </t>
  </si>
  <si>
    <t>Top shelf HMIs (2/3) on both alpha and bravo sides observed to be off-bottom-tracks (Gen 1 type) and inset into shelf. Initial power up testing proved all lights illuminated properly. Removed underside of shelf disconnected power and communication from 2 HMI units on each side. Cleaned track on shelves and HMIs. Successfully Replaced HMIs into tracks, connecting com and power harnesses. Replaced underside of shelf unit and power cycled Bot to test illumination during initialization. Test concluded that all lights on both alpha and bravo sides of top module are again functioning properly.</t>
  </si>
  <si>
    <t>Magnetic driver handle, 2mm driver bit, PH1 driver bit, stubby driver handle, knee pad</t>
  </si>
  <si>
    <t>Preventative Maintenance</t>
  </si>
  <si>
    <t>PM</t>
  </si>
  <si>
    <t>Cleaned top mod shelves and platform with microfiber towel. Cleaned Lidar, RGo, corner board assemblies and 3D Cam system with compressed air. Inspected for damage and debris. Inspected shelf clamps and HMI assemblies. Successfully tested E-Stop functionality.</t>
  </si>
  <si>
    <t>Compressed air, microfiber towel, lamp</t>
  </si>
  <si>
    <t>RGo</t>
  </si>
  <si>
    <t>RGo Performance concern. Possibly replace camera subassembly</t>
  </si>
  <si>
    <t>Scheduled</t>
  </si>
  <si>
    <t>1003 Premier Pkwy, St Peters, MO 63376</t>
  </si>
  <si>
    <t xml:space="preserve">2x stabilizers installed </t>
  </si>
  <si>
    <t xml:space="preserve">12v cordless Impact drill, right angle drill attachment, T20 Torx bit, USB to RS232 serial cable, Laptop, </t>
  </si>
  <si>
    <r>
      <rPr>
        <rFont val="Arial"/>
        <color rgb="FF000000"/>
        <sz val="10.0"/>
      </rPr>
      <t>Retrofit. Upgrade bot's safety system with lighted E-Stops (4ea).</t>
    </r>
    <r>
      <rPr>
        <rFont val="Arial"/>
        <b/>
        <color rgb="FF000000"/>
        <sz val="10.0"/>
      </rPr>
      <t xml:space="preserve"> **Verify version of RGo - Jaguar board  </t>
    </r>
  </si>
  <si>
    <t xml:space="preserve">Perception box performance issues**Verified RGo Jaguar board as 1.3v </t>
  </si>
  <si>
    <t>*DM Get Well campaign, Replaced with Jag 1.4v</t>
  </si>
  <si>
    <t>12v cordless Impact drill, right angle drill attachment, T20 Torx bit, T10 Torx driver, T20 Torx driver, (#?) Precision Phillips Head screwdriver, Calibration fixture (RGo / front plate), ground strap, knee pad</t>
  </si>
  <si>
    <t>RGo Calibrations</t>
  </si>
  <si>
    <t>*DM Get Well campaign: Completed RGo plate physical calibration and RGo Out-of-Box Calibration</t>
  </si>
  <si>
    <t>Calibration fixture (RGo / front plate), knee pad</t>
  </si>
  <si>
    <t xml:space="preserve">Driving condition - RGo performance issue. Replace RGo subassembly. </t>
  </si>
  <si>
    <t>Replaced RGo subassembly.n Out of Service - Onsite</t>
  </si>
  <si>
    <t>1004 Premier Pkwy, St Peters, MO 63376</t>
  </si>
  <si>
    <t xml:space="preserve">2x stabilizers installed (12min) </t>
  </si>
  <si>
    <t>Replace WiFi Card</t>
  </si>
  <si>
    <t xml:space="preserve">WiFi Card replaced </t>
  </si>
  <si>
    <t>1005 Premier Pkwy, St Peters, MO 63376</t>
  </si>
  <si>
    <t>2x stabilizers installed</t>
  </si>
  <si>
    <t>Body / Trim</t>
  </si>
  <si>
    <t>Safety System</t>
  </si>
  <si>
    <t>1006 Premier Pkwy, St Peters, MO 63376</t>
  </si>
  <si>
    <t>Drive issue, Re-phase Golden motors</t>
  </si>
  <si>
    <t xml:space="preserve">B side successfully phased, initialized and saved (-18397 steps), A side successfully phased, initialized and saved (-18401 steps). New map added by Sparsh and staged for awaiting localization. </t>
  </si>
  <si>
    <t>Raise shelf - 10mm socket, 1/4 ratchet and short extension. Remove top plate - T20 bit in 90degree drill motor attachment, drill motor.</t>
  </si>
  <si>
    <t>1007 Premier Pkwy, St Peters, MO 63376</t>
  </si>
  <si>
    <t xml:space="preserve">2x stabilizers installed (16min) </t>
  </si>
  <si>
    <t>Undesirable contact incident - Ticket created. Inspect for damage</t>
  </si>
  <si>
    <t>No notable damage physical observed. Proceeded with PM service.</t>
  </si>
  <si>
    <t>Rear handle E-stop lights flickering.</t>
  </si>
  <si>
    <t>Button's harness and ground replaced (*Areej)</t>
  </si>
  <si>
    <t>1008 Premier Pkwy, St Peters, MO 63376</t>
  </si>
  <si>
    <t>Battery</t>
  </si>
  <si>
    <t>SLA System</t>
  </si>
  <si>
    <t>Failed hot-swap. Evaluate SLA voltage and replace if necessary</t>
  </si>
  <si>
    <t xml:space="preserve">  Removed both A and B side skins. Voltage on B side:#2=50.3v, #1=38.6v, A side #2 =23.2v, #1=9.91v.  Replaced #1 with new SLA (12.96v). Successfully Tested hot-swap function with battery ejected for 60 seconds before inserting new battery.</t>
  </si>
  <si>
    <t>T20 Torx bit, Electric impact driver, multimeter</t>
  </si>
  <si>
    <t>1009 Premier Pkwy, St Peters, MO 63376</t>
  </si>
  <si>
    <t>E-Stop hanging out of handle housing, Install E-Stop lock washer</t>
  </si>
  <si>
    <t>Lock washer installed by Zach M.</t>
  </si>
  <si>
    <t>T10 Torx driver, Knipex cobra 6"</t>
  </si>
  <si>
    <t>Possible corner board issue - use compressed air to clean and inspect for fingerprints or smudging on corner board lenses.</t>
  </si>
  <si>
    <t>Cleaned and inspected corner boards. Used compressed air to blow out 4x corner boards and a clean microfiber towel to wipe surrounding fascia. No observed signs of damage or residual residue.</t>
  </si>
  <si>
    <t>Lower #2 bravo side HMI observed off track</t>
  </si>
  <si>
    <t>Removed HMI end caps on bottom shelf. Raised shelf to access and remove underside. Disconnected communication and power from #2 and #3 HMI to gain travel for removal, and better inspection view of track under #2 HMI. Inspection resulted in track being bowed due to lack of adhesion causing HMI to wander off track. Successfully Replaced HMIs into tracks, connecting com and power harnesses. Replaced underside of shelf unit and power cycled Bot to test illumination during initialization. Test concluded that all lights on both alpha and bravo sides of top module are functioning properly.</t>
  </si>
  <si>
    <t>1010 Premier Pkwy, St Peters, MO 63376</t>
  </si>
  <si>
    <t xml:space="preserve">2x stabilizers installed (13min) </t>
  </si>
  <si>
    <r>
      <rPr>
        <rFont val="Arial"/>
        <color theme="1"/>
      </rPr>
      <t xml:space="preserve">Main board meltdown, replace main board, logic card. </t>
    </r>
    <r>
      <rPr>
        <rFont val="Arial"/>
        <b/>
        <color theme="1"/>
      </rPr>
      <t>**Crate for return to Pittsburgh</t>
    </r>
  </si>
  <si>
    <t>612/25</t>
  </si>
  <si>
    <t>Out of Service</t>
  </si>
  <si>
    <r>
      <rPr>
        <rFont val="Arial"/>
        <b/>
        <color theme="1"/>
        <sz val="10.0"/>
      </rPr>
      <t>**Return to Pitt for further evaluation.</t>
    </r>
    <r>
      <rPr>
        <rFont val="Arial"/>
        <color theme="1"/>
        <sz val="10.0"/>
      </rPr>
      <t xml:space="preserve"> 1) Eject battery 2) Power off (if necessary) 3) Briefly observe for flame and extreme heat 4) Open top plates on platform 5) Re-evaluate for open flame and heat source) Provide/seek open ventilation 7) Allow to cool and clear prior to further evaluation </t>
    </r>
    <r>
      <rPr>
        <rFont val="Arial"/>
        <b/>
        <color theme="1"/>
        <sz val="10.0"/>
      </rPr>
      <t>**Rear E-stop ground wire removed for use on another bot (#420, Areej, 5/29/25</t>
    </r>
    <r>
      <rPr>
        <rFont val="Arial"/>
        <color theme="1"/>
        <sz val="10.0"/>
      </rPr>
      <t>.)</t>
    </r>
  </si>
  <si>
    <t>1011 Premier Pkwy, St Peters, MO 63376</t>
  </si>
  <si>
    <t>Bot powered off shortly after powering on. Possible user error - due to "long press". Evaluate power cycling, replace coin cell battery.</t>
  </si>
  <si>
    <t xml:space="preserve">Successfully Power cycled battery 3x consecutively. Depressed power button for 3 - 4 seconds until audible click was heard and immediately released. Bot powered on and continued through initialization stage. Allowed bot to remain "on" for 3 minutes before powering off, waiting 30 - 60 seconds and repeating test. </t>
  </si>
  <si>
    <t>Compressed air, microfiber towel</t>
  </si>
  <si>
    <t>1012 Premier Pkwy, St Peters, MO 63376</t>
  </si>
  <si>
    <t>1013 Premier Pkwy, St Peters, MO 63376</t>
  </si>
  <si>
    <t>Manual Mode button not operating correctly. Operator states its as if pushing the bot with the brakes on. Evaluate /Replace Man. Mode button</t>
  </si>
  <si>
    <t>Handle harness connected securely - Confirmed Manual Mode button is functioning properly</t>
  </si>
  <si>
    <t>1014 Premier Pkwy, St Peters, MO 63376</t>
  </si>
  <si>
    <t>Antenna broken - Replace antenna</t>
  </si>
  <si>
    <t xml:space="preserve">Hands only. Unscrewed and Replaced top module antenna </t>
  </si>
  <si>
    <t>3 LEDs on Hall1 illuminated successfully, Only 1 LED on Hall2 (HAU) communicated signal and illuminated during test.</t>
  </si>
  <si>
    <t>SICK Safety Lidar initially displaying a (yellow) contamination warning. Cleaned lidar with compressed air and micro fiber. Immediately cleared fault state and returned to normal operating display. Returned to the fleet for OOB and production testing.</t>
  </si>
  <si>
    <t>12v cordless Impact drill, right angle drill attachment, T20 Torx bit,</t>
  </si>
  <si>
    <t>LiDar issue (Red status lights and state on the LiDAR UI says "waiting for inputs"</t>
  </si>
  <si>
    <t>SICK Safety issue identified within power harness. Loose ground connection identified at power "in" stone. Positive connection re-established and returned system to normal operating condition.</t>
  </si>
  <si>
    <t>1015 Premier Pkwy, St Peters, MO 63376</t>
  </si>
  <si>
    <t>2x stabilizers installed (14min), E-Stop observed tight on each handle - continued with stab. install.</t>
  </si>
  <si>
    <t>Bot turns off right after powering on. Replace coin cell battery in Logic Card</t>
  </si>
  <si>
    <t xml:space="preserve">Lift bottom shelf, remove top plate to gain access to logic card. Removed coin cell battery from Logic Card and replaced with new battery. Note: Place battery under 2x small copper connector tabs on right side of battery seat (if looking at Logic Card from Bravo side of Bot). Staged for </t>
  </si>
  <si>
    <t>T20 Torx bit, 90 degree drill motor angle attachment, drill motor, 10mm socket, 1/4" ratchet, short 1/4" extension.</t>
  </si>
  <si>
    <t>Powers off shortly after powering on, Evaluate power-up cycle</t>
  </si>
  <si>
    <t>Bot powered on successfully 3x with extended "on" run time without issue. Power button depressed for 3 - 5 seconds until audible click was heard and immediately let go. Bot powered up and continued in a powered state during all testing successfully. **Bot returning to Pitt for further diagnostics.</t>
  </si>
  <si>
    <t>Sensory - "lawnmower" noise. **1st Attempt a rephase of the motors.</t>
  </si>
  <si>
    <r>
      <rPr>
        <rFont val="Arial"/>
        <color theme="1"/>
      </rPr>
      <t xml:space="preserve">Initial power up phase completed without repeating "lawn mower" sound. Bravo side motor phasing successfully completed with a step count of -18399 steps. Jog test also successful with 2 full rotations both forward and backward. Alpha side took repeated (3x) attempts to start motor wiring set up (micro step) stage resulting in "test canceled, unable to configure motor wiring" prompts. Reading: Autophase current =10.5A, Increment rate =45 elec deg/s. The fourth attempt was successful from start to finish resulting in -18366 motor counts, Auto phase current =3.75A, Increment rate =90 elec deg/s, Move distance =20 elec cycles. Jog test conducted in 2 full wheel rotations both in pos and neg directions and resulting in a low audible and physical vibration - recreating the "lawnmower". Further inspection of both motors resulted in the detection of a pulsing vibration felt and "lawnmower" noise heard at the bravo side motor. </t>
    </r>
    <r>
      <rPr>
        <rFont val="Arial"/>
        <color rgb="FFFF0000"/>
      </rPr>
      <t>*</t>
    </r>
    <r>
      <rPr>
        <rFont val="Arial"/>
        <b/>
        <color rgb="FFFF0000"/>
      </rPr>
      <t>*Bot returning to Pitt for further diagnostics.</t>
    </r>
  </si>
  <si>
    <t>T20 Torx driver, 1/4" ratchet, 10mm socket, serial port cable.</t>
  </si>
  <si>
    <t>Shipped to site - returned to service</t>
  </si>
  <si>
    <t>**Shipped to site - Uncrate bot, returned to service</t>
  </si>
  <si>
    <t>1016 Premier Pkwy, St Peters, MO 63376</t>
  </si>
  <si>
    <t xml:space="preserve">2 Shelf Configuration </t>
  </si>
  <si>
    <t xml:space="preserve">2x stabilizers installed (18min) </t>
  </si>
  <si>
    <t>*DM Get Well campaign, Replaced with Jag 1.4v, Completed RGo plate physical calibration and RGo Out-of-Box Calibration</t>
  </si>
  <si>
    <t>"Out of Service" HW Eng replaced camera subassembly, condition still exists. Software Team working on fix.</t>
  </si>
  <si>
    <t>1017 Premier Pkwy, St Peters, MO 63376</t>
  </si>
  <si>
    <t xml:space="preserve">2x stabilizers installed (10min) </t>
  </si>
  <si>
    <t>Tracking poorly, Possible encoder issue. Re-phase Golden motors</t>
  </si>
  <si>
    <r>
      <rPr>
        <rFont val="Arial"/>
        <color theme="1"/>
      </rPr>
      <t>"Out of Service" - A side successfully phased, initialized and saved (-18394 steps), Side B displays error state in control panel with prompt - "Latched fault: Motor Phasing Error" along with the motor output lit in red "error" even after enabling STO - motor, hardware, software. **Met with the team 4/9/25 - determined Possible encoder or read head issue -</t>
    </r>
    <r>
      <rPr>
        <rFont val="Arial"/>
        <b/>
        <color theme="1"/>
      </rPr>
      <t xml:space="preserve"> **requires rocker replacement - Awaiting parts - </t>
    </r>
    <r>
      <rPr>
        <rFont val="Arial"/>
        <b/>
        <color rgb="FFFF0000"/>
      </rPr>
      <t>**Bot returning to Pitt for further diagnostics</t>
    </r>
  </si>
  <si>
    <t>**Shipped to site - Uncrate bot returned to service</t>
  </si>
  <si>
    <t>1018 Premier Pkwy, St Peters, MO 63376</t>
  </si>
  <si>
    <t>2x stabilizers installed (11min)</t>
  </si>
  <si>
    <t>Rotating E-Stop button on handle. Install E-Stop lock washer</t>
  </si>
  <si>
    <t>Opened E-Stop handles. Installed lock washers on both handles.</t>
  </si>
  <si>
    <t>Perception box performance issues**Verified RGo Jaguar board as 1.1v. Replace board with newer version</t>
  </si>
  <si>
    <t>1019 Premier Pkwy, St Peters, MO 63376</t>
  </si>
  <si>
    <t>5/19/54</t>
  </si>
  <si>
    <t>Blew off corner boards with compressed air. Inspected for cleanliness. No evidence of smudging or fingerprints on lenses.</t>
  </si>
  <si>
    <t>Lower shelf HMI damage and missing HMI / shelf corner stop.</t>
  </si>
  <si>
    <t>1020 Premier Pkwy, St Peters, MO 63376</t>
  </si>
  <si>
    <t xml:space="preserve">2x stabilizers installed (17min) </t>
  </si>
  <si>
    <t>HMI. #1 alpha (top and bottom) shelf HMIs off track. Inspect functionality, reset into track or replace if necessary.</t>
  </si>
  <si>
    <t>Removed HMI end caps on both top and bottom alpha shelves. Rail inspection resulted in upper plastic tracking being bent back inwards or out of initial alignment with strip adhesive. Disconnected communication cable from #1 HMI to allow more travel and access to plastic track. Removed and re-adhered short portion of track in order to accurately realign HMI on shelf. Power up test resulted in properly illuminated and functioning HMIs.</t>
  </si>
  <si>
    <t>PH1 screwdriver bit, stubby driver handle, needle nose pliers, flash light, microfiber towel, lamp</t>
  </si>
  <si>
    <t>3 LEDs on Hall1 illuminated successfully, Only 2 LEDs on Hall2 (HAU &amp; HBW) communicated signal and illuminated during test.Inspection of Hall2 connection at Copley board is observed without damage and intact.</t>
  </si>
  <si>
    <t>Motors successfully rephased,</t>
  </si>
  <si>
    <t>1021 Premier Pkwy, St Peters, MO 63376</t>
  </si>
  <si>
    <t>1022 Premier Pkwy, St Peters, MO 63376</t>
  </si>
  <si>
    <t xml:space="preserve">2x stabilizers installed  </t>
  </si>
  <si>
    <t>Replace RGo camera subassembly</t>
  </si>
  <si>
    <t>RGo camera replaced. Diagnostics completed with Smit and Sam. Preliminary results look positive. RGo cleared perception box for production. New map added by Sparsh and staged for awaiting localization. Localized and sent back to production</t>
  </si>
  <si>
    <t xml:space="preserve">Tools T10 bit, PH1 screwdriver bit, stubby driver, 10mm socket, 1/4 ratchet, short ext </t>
  </si>
  <si>
    <r>
      <rPr>
        <rFont val="Arial"/>
        <color rgb="FF000000"/>
        <sz val="10.0"/>
      </rPr>
      <t>Retrofit. Upgrade bot's safety system with lighted E-Stops (4ea).</t>
    </r>
    <r>
      <rPr>
        <rFont val="Arial"/>
        <b/>
        <color rgb="FF000000"/>
        <sz val="10.0"/>
      </rPr>
      <t xml:space="preserve"> **Verify version of RGo - Jaguar board  (**if version is &lt;1.3v, replace Jaguar board)</t>
    </r>
  </si>
  <si>
    <t>1023 Premier Pkwy, St Peters, MO 63376</t>
  </si>
  <si>
    <t>Install E-Stop lock washer</t>
  </si>
  <si>
    <t>E-Stop observed tight. Disassembled both handles. Added lock washers to both E-Stops.</t>
  </si>
  <si>
    <t>No detrimental damage found. 1x lower alpha HMI found to be off track. Disconnected communication cable from #1 HMI to allow more travel and access to plastic track. Realigned center #2 HMI on lower shelf. Power up and FAT test resulted in all properly illuminated and functioning HMIs.</t>
  </si>
  <si>
    <t>PH1 screwdriver bit, stubby driver handle, needle nose pliers, microfiber towel</t>
  </si>
  <si>
    <t>1024 Premier Pkwy, St Peters, MO 63376</t>
  </si>
  <si>
    <t xml:space="preserve">Blew off corner boards with compressed air. Inspected for cleanliness. No evidence of smudging or fingerprints on lenses. No observed damage on all corners of plastic fascia surrounds. </t>
  </si>
  <si>
    <t>1025 Premier Pkwy, St Peters, MO 63376</t>
  </si>
  <si>
    <t>1026 Premier Pkwy, St Peters, MO 63376</t>
  </si>
  <si>
    <t xml:space="preserve">2x stabilizers installed (11min) </t>
  </si>
  <si>
    <t>1027 Premier Pkwy, St Peters, MO 63376</t>
  </si>
  <si>
    <t>Broken / missing bot number flag and top cap. **3D print and Replace top cap and number flag (440)</t>
  </si>
  <si>
    <t>Replaced both 440 name flags. Both top caps observed in good working condition and able to reuse. 1x slotted top cap left onsite.</t>
  </si>
  <si>
    <t>1028 Premier Pkwy, St Peters, MO 63376</t>
  </si>
  <si>
    <t>(*I1 LED on sick brick is a constant flashing red, cornerboard LEDs solid red/white sequence (E-Stopped condition). MS LED flashing red on SICK Card #2. Lighted buttons have been tested and found in good working condition. Diagnosed as "bad" rear handle E-Stop harness, 5/13/25. Replaced with "known good" harness and successfully tested E-Stop and corner LED function 5/13/25.</t>
  </si>
  <si>
    <t>*DM Get Well campaign, Replaced with Jag 1.3v, Completed RGo plate physical calibration and RGo Out-of-Box Calibration</t>
  </si>
  <si>
    <t>HW Eng replaced camera subassembly, condition still exists. Software working on fix.</t>
  </si>
  <si>
    <t xml:space="preserve">Handle opened for harness evaluation. "Fast-on" Spade connectors physically adjusted (by hand) to remedy flickering LED in button. </t>
  </si>
  <si>
    <t>1029 Premier Pkwy, St Peters, MO 63376</t>
  </si>
  <si>
    <t xml:space="preserve">2x stabilizers installed (22min) </t>
  </si>
  <si>
    <t>"Out of Service" HW Eng replaced camera subassembly, condition still exists. Software working on fix.</t>
  </si>
  <si>
    <t>Missing ID flag. Needs replacement</t>
  </si>
  <si>
    <t>1030 Premier Pkwy, St Peters, MO 63376</t>
  </si>
  <si>
    <t>Battery unintentionally "popping out" of battery compartment. Inspect latching hardware on both battery housing and bot platform and alignment track.</t>
  </si>
  <si>
    <t>Latching hardware on battery found to be structurally tight and in working condition. Battery eject button observed to be loosened in platform. Plastic locknut tightened to factory state and returned to normal operation.</t>
  </si>
  <si>
    <t xml:space="preserve">Blew off corner boards with compressed air. Inspected for cleanliness. No evidence of smudging or fingerprints on lenses. **Some evidence of minor rubbing/bumping on plastic fascia around rear Bravo side lenses, but no impact or obstruction to lenses. </t>
  </si>
  <si>
    <t>RGo has expressed concern about the IMU (we were not aware that there are camera modules here and we do not have ESD protection) Possibly replace camera subassembly.</t>
  </si>
  <si>
    <t>RGo Camera subassembly replaced. Physical and OOB calibration completed.</t>
  </si>
  <si>
    <t>12v cordless impact drill, right angle drill attachment, T20 Torx bit, T8 Torx bit, stubby handle driver, Precision flathead screwdriver, knee pad</t>
  </si>
  <si>
    <t>1031 Premier Pkwy, St Peters, MO 63376</t>
  </si>
  <si>
    <t>1032 Premier Pkwy, St Peters, MO 63376</t>
  </si>
  <si>
    <t xml:space="preserve">2x stabilizers installed (9min) </t>
  </si>
  <si>
    <t>RGo subassembly replaced. Physical and OOB calibration completed.</t>
  </si>
  <si>
    <t>1033 Premier Pkwy, St Peters, MO 63376</t>
  </si>
  <si>
    <t>RGo Performance concern. Possibly replace camera subassembly.</t>
  </si>
  <si>
    <t>1034 Premier Pkwy, St Peters, MO 63376</t>
  </si>
  <si>
    <t>Manual Mode button not operating correctly. Operator states its as if pushing the bot with the brakes on. Inspect Manual Mode button for proper operation</t>
  </si>
  <si>
    <t xml:space="preserve">Handle disassembled, button, harness and connector functioning properly as a normally open switch circuit. Removed Alpha bottom cover to inspect lower harness and connections. All connections and pins   observed in good condition. </t>
  </si>
  <si>
    <t xml:space="preserve">Sarah reports in Slack 5/21/25- operational/safety beeping is sounding like an "injured animal". Evaluate purple lidar plate and speaker for loose mounting screws and excessive vibration.  </t>
  </si>
  <si>
    <t>Mute switch on Logic Card accidentally turned to "on"</t>
  </si>
  <si>
    <t>"Bad" IMU - Discuss with Sparsh</t>
  </si>
  <si>
    <t>Replaced RGo subassembly per Sparsh/Jack</t>
  </si>
  <si>
    <t>1035 Premier Pkwy, St Peters, MO 63376</t>
  </si>
  <si>
    <t>Failed hot-swap, evaluate SLA voltage and replace if neccessary</t>
  </si>
  <si>
    <t xml:space="preserve"> **Confirmed failure - address on 4/9/25. Removed both A and B side skins. Voltage on Bravo side:#2=50.6v, #1=38.6v, Alpha side #2 =11.7v, #1=24.63v.  Replaced #2 with new SLA (12.94v). Successfully Tested hot-swap function with battery ejected for 60 seconds before inserting new battery.</t>
  </si>
  <si>
    <t>E-stop remains illuminated when depressed.</t>
  </si>
  <si>
    <t>Unable to replicate. E-stop operating normally.</t>
  </si>
  <si>
    <t>1036 Premier Pkwy, St Peters, MO 63376</t>
  </si>
  <si>
    <t>Front E-Stop handle "wobble". Evaluate handle stabilizer.</t>
  </si>
  <si>
    <r>
      <rPr>
        <rFont val="Arial"/>
        <color rgb="FFFF0000"/>
        <sz val="10.0"/>
      </rPr>
      <t>Logic card initially fails to update 5/12.</t>
    </r>
    <r>
      <rPr>
        <rFont val="Arial"/>
        <color theme="1"/>
        <sz val="10.0"/>
      </rPr>
      <t xml:space="preserve"> Logic card successfully flashed to newest version 5/13 with support from Pitt office (Tengar) using alternative Logic Card flash process.</t>
    </r>
  </si>
  <si>
    <r>
      <rPr>
        <rFont val="Arial"/>
        <color rgb="FF000000"/>
        <sz val="10.0"/>
      </rPr>
      <t>Retrofit. Upgrade bot's safety system with lighted E-Stops (4ea).</t>
    </r>
    <r>
      <rPr>
        <rFont val="Arial"/>
        <b/>
        <color rgb="FF000000"/>
        <sz val="10.0"/>
      </rPr>
      <t xml:space="preserve"> **Verify version of RGo - Jaguar board  </t>
    </r>
  </si>
  <si>
    <r>
      <rPr>
        <rFont val="Arial"/>
        <color theme="1"/>
      </rPr>
      <t xml:space="preserve">Main board meltdown, replace main board, logic card. </t>
    </r>
    <r>
      <rPr>
        <rFont val="Arial"/>
        <b/>
        <color theme="1"/>
      </rPr>
      <t>**Crate for return to Pittsburgh</t>
    </r>
  </si>
  <si>
    <r>
      <rPr>
        <rFont val="Arial"/>
        <b/>
        <color theme="1"/>
        <sz val="10.0"/>
      </rPr>
      <t>**Return to Pitt for further evaluation.</t>
    </r>
    <r>
      <rPr>
        <rFont val="Arial"/>
        <color theme="1"/>
        <sz val="10.0"/>
      </rPr>
      <t xml:space="preserve"> 1) Eject battery 2) Power off (if necessary) 3) Briefly observe for flame and extreme heat 4) Open top plates on platform 5) Re-evaluate for open flame and heat source) Provide/seek open ventilation 7) Allow to cool and clear prior to further evaluation </t>
    </r>
    <r>
      <rPr>
        <rFont val="Arial"/>
        <b/>
        <color theme="1"/>
        <sz val="10.0"/>
      </rPr>
      <t>**Rear E-stop ground wire removed for use on another bot (#420, Areej, 5/29/25</t>
    </r>
    <r>
      <rPr>
        <rFont val="Arial"/>
        <color theme="1"/>
        <sz val="10.0"/>
      </rPr>
      <t>.)</t>
    </r>
  </si>
  <si>
    <r>
      <rPr>
        <rFont val="Arial"/>
        <color theme="1"/>
      </rPr>
      <t xml:space="preserve">Initial power up phase completed without repeating "lawn mower" sound. Bravo side motor phasing successfully completed with a step count of -18399 steps. Jog test also successful with 2 full rotations both forward and backward. Alpha side took repeated (3x) attempts to start motor wiring set up (micro step) stage resulting in "test canceled, unable to configure motor wiring" prompts. Reading: Autophase current =10.5A, Increment rate =45 elec deg/s. The fourth attempt was successful from start to finish resulting in -18366 motor counts, Auto phase current =3.75A, Increment rate =90 elec deg/s, Move distance =20 elec cycles. Jog test conducted in 2 full wheel rotations both in pos and neg directions and resulting in a low audible and physical vibration - recreating the "lawnmower". Further inspection of both motors resulted in the detection of a pulsing vibration felt and "lawnmower" noise heard at the bravo side motor. </t>
    </r>
    <r>
      <rPr>
        <rFont val="Arial"/>
        <color rgb="FFFF0000"/>
      </rPr>
      <t>*</t>
    </r>
    <r>
      <rPr>
        <rFont val="Arial"/>
        <b/>
        <color rgb="FFFF0000"/>
      </rPr>
      <t>*Bot returning to Pitt for further diagnostics.</t>
    </r>
  </si>
  <si>
    <r>
      <rPr>
        <rFont val="Arial"/>
        <color theme="1"/>
      </rPr>
      <t>"Out of Service" - A side successfully phased, initialized and saved (-18394 steps), Side B displays error state in control panel with prompt - "Latched fault: Motor Phasing Error" along with the motor output lit in red "error" even after enabling STO - motor, hardware, software. **Met with the team 4/9/25 - determined Possible encoder or read head issue -</t>
    </r>
    <r>
      <rPr>
        <rFont val="Arial"/>
        <b/>
        <color theme="1"/>
      </rPr>
      <t xml:space="preserve"> **requires rocker replacement - Awaiting parts - </t>
    </r>
    <r>
      <rPr>
        <rFont val="Arial"/>
        <b/>
        <color rgb="FFFF0000"/>
      </rPr>
      <t>**Bot returning to Pitt for further diagnostics</t>
    </r>
  </si>
  <si>
    <r>
      <rPr>
        <rFont val="Arial"/>
        <color rgb="FF000000"/>
        <sz val="10.0"/>
      </rPr>
      <t>Retrofit. Upgrade bot's safety system with lighted E-Stops (4ea).</t>
    </r>
    <r>
      <rPr>
        <rFont val="Arial"/>
        <b/>
        <color rgb="FF000000"/>
        <sz val="10.0"/>
      </rPr>
      <t xml:space="preserve"> **Verify version of RGo - Jaguar board  (**if version is &lt;1.3v, replace Jaguar board)</t>
    </r>
  </si>
  <si>
    <r>
      <rPr>
        <rFont val="Arial"/>
        <color rgb="FFFF0000"/>
        <sz val="10.0"/>
      </rPr>
      <t>Logic card initially fails to update 5/12.</t>
    </r>
    <r>
      <rPr>
        <rFont val="Arial"/>
        <color theme="1"/>
        <sz val="10.0"/>
      </rPr>
      <t xml:space="preserve"> Logic card successfully flashed to newest version 5/13 with support from Pitt office (Tengar) using alternative Logic Card flash process.</t>
    </r>
  </si>
  <si>
    <t>COUNTA of Event Type</t>
  </si>
  <si>
    <t>SUM of Time (min)</t>
  </si>
  <si>
    <t>Sum of Time (Hours)</t>
  </si>
  <si>
    <t>Grand Total</t>
  </si>
  <si>
    <t>COUNTA of Events</t>
  </si>
  <si>
    <t>SUM of Hours</t>
  </si>
  <si>
    <t>AVERAGE of Time (min)</t>
  </si>
  <si>
    <t>Date</t>
  </si>
  <si>
    <t>Observed Condition / Complaint</t>
  </si>
  <si>
    <t>Fix</t>
  </si>
  <si>
    <t>CAH</t>
  </si>
  <si>
    <t>Localization issues</t>
  </si>
  <si>
    <t>High Priority</t>
  </si>
  <si>
    <t xml:space="preserve">Evaluate RGo performance logs to determine if cause is linked to Jaguar board. Possibly replace Jag board. </t>
  </si>
  <si>
    <t>Broken identification tag (#)</t>
  </si>
  <si>
    <t>Replace bot identification tag - #454, shipped new ID # tag from Pitt 5/20/25</t>
  </si>
  <si>
    <t>Charger</t>
  </si>
  <si>
    <t>Charger - Not functioning properly</t>
  </si>
  <si>
    <t>Replace charger - shipped new charger from Pitt 5/20/25</t>
  </si>
  <si>
    <t>Possible Drive motor hanging up causing one wheel to audibly drag</t>
  </si>
  <si>
    <t>Top Mod</t>
  </si>
  <si>
    <t>Condition Observed</t>
  </si>
  <si>
    <t xml:space="preserve">Service Request </t>
  </si>
  <si>
    <t>Custom 3 Shelf Configuration (Airtag 1)</t>
  </si>
  <si>
    <t>Custom 3 Shelf Configuration</t>
  </si>
  <si>
    <t>Evaluate Golden Motors</t>
  </si>
  <si>
    <t>Broken identification tag #</t>
  </si>
  <si>
    <t>Reprint and replace ID tag</t>
  </si>
  <si>
    <t>Shipped new ID tag (454) from Pitt office .</t>
  </si>
  <si>
    <t>Custom 3 Shelf Configuration (Airtag 2)</t>
  </si>
  <si>
    <t>Localization and mapping issues.</t>
  </si>
  <si>
    <t>Evaluate RGo Logs to determine performance issues. Possibly replace Jaguar board.</t>
  </si>
  <si>
    <t>Map found to be corrupted. Brian H. provided clean map for upload. Bot able to localize and run mission.</t>
  </si>
  <si>
    <t>Impact</t>
  </si>
  <si>
    <t>Demo</t>
  </si>
  <si>
    <t>3 Shelf Configuration</t>
  </si>
  <si>
    <t>Critical</t>
  </si>
  <si>
    <t>SICK Safety System</t>
  </si>
  <si>
    <t>Red lights on LiDar, bot will not run mission</t>
  </si>
  <si>
    <t>Non-critical</t>
  </si>
  <si>
    <t>Endcap hanging out of shelf</t>
  </si>
  <si>
    <t>Failed hot swap</t>
  </si>
  <si>
    <t>In Process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</si>
</sst>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d/yy"/>
  </numFmts>
  <fonts count="18">
    <font>
      <sz val="10.0"/>
      <color rgb="FF000000"/>
      <name val="Arial"/>
      <scheme val="minor"/>
    </font>
    <font>
      <b/>
      <sz val="15.0"/>
      <color rgb="FF000000"/>
      <name val="Calibri"/>
    </font>
    <font>
      <b/>
      <sz val="13.0"/>
      <color rgb="FF000000"/>
      <name val="Calibri"/>
    </font>
    <font>
      <sz val="11.0"/>
      <color rgb="FF000000"/>
      <name val="&quot;Aptos Narrow&quot;"/>
    </font>
    <font>
      <sz val="11.0"/>
      <color rgb="FF000000"/>
      <name val="Arial"/>
    </font>
    <font>
      <sz val="10.0"/>
      <color rgb="FF000000"/>
      <name val="Arial"/>
    </font>
    <font>
      <b/>
      <sz val="11.0"/>
      <color theme="1"/>
      <name val="Arial"/>
      <scheme val="minor"/>
    </font>
    <font>
      <color theme="1"/>
      <name val="Arial"/>
      <scheme val="minor"/>
    </font>
    <font>
      <sz val="11.0"/>
      <color theme="1"/>
      <name val="Calibri"/>
    </font>
    <font>
      <sz val="10.0"/>
      <color theme="1"/>
      <name val="Arial"/>
    </font>
    <font>
      <color theme="1"/>
      <name val="Arial"/>
    </font>
    <font>
      <color rgb="FF000000"/>
      <name val="Arial"/>
    </font>
    <font>
      <color rgb="FF434343"/>
      <name val="Roboto"/>
    </font>
    <font>
      <sz val="10.0"/>
      <color rgb="FF1D1C1D"/>
      <name val="Arial"/>
    </font>
    <font>
      <sz val="10.0"/>
      <color rgb="FF1D1C1D"/>
      <name val="Slack-Lato"/>
    </font>
    <font>
      <sz val="11.0"/>
      <color rgb="FF434343"/>
      <name val="Calibri"/>
    </font>
    <font>
      <color rgb="FFD4EDBC"/>
      <name val="Roboto"/>
    </font>
    <font>
      <sz val="10.0"/>
      <color rgb="FF000000"/>
      <name val="Roboto"/>
    </font>
  </fonts>
  <fills count="11">
    <fill>
      <patternFill patternType="none"/>
    </fill>
    <fill>
      <patternFill patternType="lightGray"/>
    </fill>
    <fill>
      <patternFill patternType="solid">
        <fgColor rgb="FFD9D9D9"/>
        <bgColor rgb="FFD9D9D9"/>
      </patternFill>
    </fill>
    <fill>
      <patternFill patternType="solid">
        <fgColor theme="0"/>
        <bgColor theme="0"/>
      </patternFill>
    </fill>
    <fill>
      <patternFill patternType="solid">
        <fgColor rgb="FFD9D2E9"/>
        <bgColor rgb="FFD9D2E9"/>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8F9FA"/>
        <bgColor rgb="FFF8F9FA"/>
      </patternFill>
    </fill>
    <fill>
      <patternFill patternType="solid">
        <fgColor rgb="FF8493B2"/>
        <bgColor rgb="FF8493B2"/>
      </patternFill>
    </fill>
    <fill>
      <patternFill patternType="solid">
        <fgColor rgb="FFE0E4EC"/>
        <bgColor rgb="FFE0E4EC"/>
      </patternFill>
    </fill>
  </fills>
  <borders count="8">
    <border/>
    <border>
      <left style="thin">
        <color rgb="FF9CA8AA"/>
      </left>
      <right style="thin">
        <color rgb="FF9CA8AA"/>
      </right>
      <top style="thin">
        <color rgb="FF9CA8AA"/>
      </top>
      <bottom style="thin">
        <color rgb="FF9CA8AA"/>
      </bottom>
    </border>
    <border>
      <left style="thin">
        <color rgb="FF000000"/>
      </left>
      <right style="thin">
        <color rgb="FF000000"/>
      </right>
      <top style="thin">
        <color rgb="FF000000"/>
      </top>
      <bottom style="thin">
        <color rgb="FF000000"/>
      </bottom>
    </border>
    <border>
      <left style="thin">
        <color rgb="FF356854"/>
      </left>
      <right style="thin">
        <color rgb="FF356854"/>
      </right>
      <top style="thin">
        <color rgb="FF284E3F"/>
      </top>
      <bottom style="thin">
        <color rgb="FF284E3F"/>
      </bottom>
    </border>
    <border>
      <left style="medium">
        <color rgb="FF000000"/>
      </left>
      <right style="medium">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1" fillId="0" fontId="2" numFmtId="0" xfId="0" applyAlignment="1" applyBorder="1" applyFont="1">
      <alignment horizontal="center" readingOrder="0" shrinkToFit="0" vertical="bottom" wrapText="0"/>
    </xf>
    <xf borderId="1" fillId="0" fontId="2" numFmtId="49" xfId="0" applyAlignment="1" applyBorder="1" applyFont="1" applyNumberFormat="1">
      <alignment horizontal="center" readingOrder="0" shrinkToFit="0" vertical="bottom" wrapText="0"/>
    </xf>
    <xf borderId="2" fillId="0" fontId="2" numFmtId="0" xfId="0" applyAlignment="1" applyBorder="1" applyFont="1">
      <alignment horizontal="center" readingOrder="0" shrinkToFit="0" vertical="bottom" wrapText="0"/>
    </xf>
    <xf borderId="2" fillId="0" fontId="2" numFmtId="49" xfId="0" applyAlignment="1" applyBorder="1" applyFont="1" applyNumberFormat="1">
      <alignment horizontal="center" readingOrder="0" shrinkToFit="0" vertical="bottom" wrapText="0"/>
    </xf>
    <xf borderId="2" fillId="2" fontId="3" numFmtId="164" xfId="0" applyAlignment="1" applyBorder="1" applyFill="1" applyFont="1" applyNumberFormat="1">
      <alignment horizontal="left" readingOrder="0" shrinkToFit="0" vertical="bottom" wrapText="0"/>
    </xf>
    <xf borderId="2" fillId="2" fontId="4" numFmtId="0" xfId="0" applyAlignment="1" applyBorder="1" applyFont="1">
      <alignment horizontal="left" readingOrder="0" shrinkToFit="0" vertical="bottom" wrapText="0"/>
    </xf>
    <xf borderId="2" fillId="2" fontId="3" numFmtId="0" xfId="0" applyAlignment="1" applyBorder="1" applyFont="1">
      <alignment horizontal="center" readingOrder="0" shrinkToFit="0" vertical="bottom" wrapText="0"/>
    </xf>
    <xf borderId="2" fillId="2" fontId="3" numFmtId="0" xfId="0" applyAlignment="1" applyBorder="1" applyFont="1">
      <alignment horizontal="left" readingOrder="0" shrinkToFit="0" vertical="bottom" wrapText="0"/>
    </xf>
    <xf borderId="2" fillId="2" fontId="4" numFmtId="0" xfId="0" applyAlignment="1" applyBorder="1" applyFont="1">
      <alignment horizontal="left" readingOrder="0" shrinkToFit="0" vertical="bottom" wrapText="1"/>
    </xf>
    <xf borderId="2" fillId="2" fontId="4" numFmtId="0" xfId="0" applyAlignment="1" applyBorder="1" applyFont="1">
      <alignment readingOrder="0" shrinkToFit="0" vertical="bottom" wrapText="0"/>
    </xf>
    <xf borderId="2" fillId="2" fontId="4" numFmtId="0" xfId="0" applyAlignment="1" applyBorder="1" applyFont="1">
      <alignment horizontal="left" readingOrder="0" shrinkToFit="0" vertical="center" wrapText="1"/>
    </xf>
    <xf borderId="2" fillId="0" fontId="4" numFmtId="165" xfId="0" applyAlignment="1" applyBorder="1" applyFont="1" applyNumberFormat="1">
      <alignment horizontal="left" readingOrder="0" shrinkToFit="0" vertical="bottom" wrapText="0"/>
    </xf>
    <xf borderId="2" fillId="0" fontId="4" numFmtId="0" xfId="0" applyAlignment="1" applyBorder="1" applyFont="1">
      <alignment horizontal="center" readingOrder="0" shrinkToFit="0" vertical="bottom" wrapText="0"/>
    </xf>
    <xf borderId="2" fillId="0" fontId="4" numFmtId="0" xfId="0" applyAlignment="1" applyBorder="1" applyFont="1">
      <alignment readingOrder="0" shrinkToFit="0" vertical="bottom" wrapText="0"/>
    </xf>
    <xf borderId="2" fillId="0" fontId="4" numFmtId="0" xfId="0" applyAlignment="1" applyBorder="1" applyFont="1">
      <alignment readingOrder="0" shrinkToFit="0" vertical="bottom" wrapText="1"/>
    </xf>
    <xf borderId="2" fillId="0" fontId="4" numFmtId="0" xfId="0" applyAlignment="1" applyBorder="1" applyFont="1">
      <alignment readingOrder="0" shrinkToFit="0" vertical="bottom" wrapText="0"/>
    </xf>
    <xf borderId="2" fillId="0" fontId="4" numFmtId="0" xfId="0" applyAlignment="1" applyBorder="1" applyFont="1">
      <alignment readingOrder="0" shrinkToFit="0" vertical="center" wrapText="1"/>
    </xf>
    <xf borderId="2" fillId="2" fontId="4" numFmtId="164" xfId="0" applyAlignment="1" applyBorder="1" applyFont="1" applyNumberFormat="1">
      <alignment horizontal="left" readingOrder="0" shrinkToFit="0" vertical="bottom" wrapText="0"/>
    </xf>
    <xf borderId="2" fillId="2" fontId="4" numFmtId="0" xfId="0" applyAlignment="1" applyBorder="1" applyFont="1">
      <alignment horizontal="center" readingOrder="0" shrinkToFit="0" vertical="bottom" wrapText="0"/>
    </xf>
    <xf borderId="2" fillId="2" fontId="4" numFmtId="0" xfId="0" applyAlignment="1" applyBorder="1" applyFont="1">
      <alignment readingOrder="0" shrinkToFit="0" vertical="bottom" wrapText="0"/>
    </xf>
    <xf borderId="2" fillId="2" fontId="3" numFmtId="0" xfId="0" applyAlignment="1" applyBorder="1" applyFont="1">
      <alignment readingOrder="0" shrinkToFit="0" vertical="bottom" wrapText="1"/>
    </xf>
    <xf borderId="2" fillId="2" fontId="4" numFmtId="0" xfId="0" applyAlignment="1" applyBorder="1" applyFont="1">
      <alignment readingOrder="0" shrinkToFit="0" vertical="bottom" wrapText="1"/>
    </xf>
    <xf borderId="2" fillId="0" fontId="4" numFmtId="164" xfId="0" applyAlignment="1" applyBorder="1" applyFont="1" applyNumberFormat="1">
      <alignment horizontal="left" readingOrder="0" shrinkToFit="0" vertical="bottom" wrapText="0"/>
    </xf>
    <xf borderId="2" fillId="2" fontId="4" numFmtId="166" xfId="0" applyAlignment="1" applyBorder="1" applyFont="1" applyNumberFormat="1">
      <alignment horizontal="left" readingOrder="0" shrinkToFit="0" vertical="bottom" wrapText="0"/>
    </xf>
    <xf borderId="2" fillId="2" fontId="3" numFmtId="0" xfId="0" applyAlignment="1" applyBorder="1" applyFont="1">
      <alignment shrinkToFit="0" vertical="bottom" wrapText="1"/>
    </xf>
    <xf borderId="2" fillId="2" fontId="3" numFmtId="0" xfId="0" applyAlignment="1" applyBorder="1" applyFont="1">
      <alignment shrinkToFit="0" vertical="center" wrapText="1"/>
    </xf>
    <xf borderId="2" fillId="2" fontId="4" numFmtId="166" xfId="0" applyAlignment="1" applyBorder="1" applyFont="1" applyNumberFormat="1">
      <alignment horizontal="left" readingOrder="0" shrinkToFit="0" vertical="bottom" wrapText="0"/>
    </xf>
    <xf borderId="2" fillId="2" fontId="4" numFmtId="0" xfId="0" applyAlignment="1" applyBorder="1" applyFont="1">
      <alignment horizontal="center" readingOrder="0" shrinkToFit="0" vertical="bottom" wrapText="0"/>
    </xf>
    <xf borderId="2" fillId="2" fontId="4" numFmtId="0" xfId="0" applyAlignment="1" applyBorder="1" applyFont="1">
      <alignment readingOrder="0" shrinkToFit="0" vertical="bottom" wrapText="0"/>
    </xf>
    <xf borderId="2" fillId="2" fontId="4" numFmtId="0" xfId="0" applyAlignment="1" applyBorder="1" applyFont="1">
      <alignment readingOrder="0" shrinkToFit="0" vertical="bottom" wrapText="1"/>
    </xf>
    <xf borderId="2" fillId="2" fontId="4" numFmtId="0" xfId="0" applyAlignment="1" applyBorder="1" applyFont="1">
      <alignment readingOrder="0" shrinkToFit="0" vertical="bottom" wrapText="0"/>
    </xf>
    <xf borderId="2" fillId="2" fontId="3" numFmtId="0" xfId="0" applyAlignment="1" applyBorder="1" applyFont="1">
      <alignment shrinkToFit="0" vertical="bottom" wrapText="1"/>
    </xf>
    <xf borderId="2" fillId="2" fontId="3" numFmtId="0" xfId="0" applyAlignment="1" applyBorder="1" applyFont="1">
      <alignment shrinkToFit="0" vertical="center" wrapText="1"/>
    </xf>
    <xf borderId="2" fillId="3" fontId="4" numFmtId="0" xfId="0" applyAlignment="1" applyBorder="1" applyFill="1" applyFont="1">
      <alignment horizontal="center" readingOrder="0" shrinkToFit="0" vertical="bottom" wrapText="0"/>
    </xf>
    <xf borderId="2" fillId="3" fontId="4" numFmtId="0" xfId="0" applyAlignment="1" applyBorder="1" applyFont="1">
      <alignment readingOrder="0" shrinkToFit="0" vertical="bottom" wrapText="0"/>
    </xf>
    <xf borderId="2" fillId="3" fontId="4" numFmtId="0" xfId="0" applyAlignment="1" applyBorder="1" applyFont="1">
      <alignment readingOrder="0" shrinkToFit="0" vertical="bottom" wrapText="1"/>
    </xf>
    <xf borderId="2" fillId="2" fontId="4" numFmtId="0" xfId="0" applyAlignment="1" applyBorder="1" applyFont="1">
      <alignment readingOrder="0" shrinkToFit="0" vertical="center" wrapText="1"/>
    </xf>
    <xf borderId="2" fillId="2" fontId="4" numFmtId="0" xfId="0" applyAlignment="1" applyBorder="1" applyFont="1">
      <alignment readingOrder="0" shrinkToFit="0" vertical="center" wrapText="1"/>
    </xf>
    <xf borderId="2" fillId="3" fontId="5" numFmtId="0" xfId="0" applyAlignment="1" applyBorder="1" applyFont="1">
      <alignment readingOrder="0" shrinkToFit="0" vertical="bottom" wrapText="1"/>
    </xf>
    <xf borderId="2" fillId="3" fontId="4" numFmtId="166" xfId="0" applyAlignment="1" applyBorder="1" applyFont="1" applyNumberFormat="1">
      <alignment horizontal="left" readingOrder="0" shrinkToFit="0" vertical="bottom" wrapText="0"/>
    </xf>
    <xf borderId="2" fillId="2" fontId="4" numFmtId="0" xfId="0" applyAlignment="1" applyBorder="1" applyFont="1">
      <alignment readingOrder="0" shrinkToFit="0" vertical="bottom" wrapText="0"/>
    </xf>
    <xf borderId="2" fillId="2" fontId="4" numFmtId="0" xfId="0" applyAlignment="1" applyBorder="1" applyFont="1">
      <alignment readingOrder="0" shrinkToFit="0" vertical="bottom" wrapText="0"/>
    </xf>
    <xf borderId="2" fillId="0" fontId="6" numFmtId="0" xfId="0" applyAlignment="1" applyBorder="1" applyFont="1">
      <alignment horizontal="left" readingOrder="0" shrinkToFit="0" vertical="center" wrapText="0"/>
    </xf>
    <xf borderId="2" fillId="0" fontId="6" numFmtId="49" xfId="0" applyAlignment="1" applyBorder="1" applyFont="1" applyNumberFormat="1">
      <alignment horizontal="left" readingOrder="0" shrinkToFit="0" vertical="center" wrapText="0"/>
    </xf>
    <xf borderId="2" fillId="0" fontId="6" numFmtId="0" xfId="0" applyAlignment="1" applyBorder="1" applyFont="1">
      <alignment horizontal="left" readingOrder="0" shrinkToFit="0" vertical="center" wrapText="1"/>
    </xf>
    <xf borderId="2" fillId="0" fontId="7" numFmtId="0" xfId="0" applyAlignment="1" applyBorder="1" applyFont="1">
      <alignment horizontal="left" readingOrder="0" shrinkToFit="0" vertical="center" wrapText="0"/>
    </xf>
    <xf borderId="2" fillId="0" fontId="7" numFmtId="0" xfId="0" applyAlignment="1" applyBorder="1" applyFont="1">
      <alignment horizontal="left" readingOrder="0" shrinkToFit="0" vertical="center" wrapText="1"/>
    </xf>
    <xf borderId="3" fillId="0" fontId="7" numFmtId="0" xfId="0" applyAlignment="1" applyBorder="1" applyFont="1">
      <alignment horizontal="left" readingOrder="0" shrinkToFit="0" vertical="center" wrapText="0"/>
    </xf>
    <xf borderId="3" fillId="0" fontId="7" numFmtId="49" xfId="0" applyAlignment="1" applyBorder="1" applyFont="1" applyNumberFormat="1">
      <alignment horizontal="left" readingOrder="0" shrinkToFit="0" vertical="center" wrapText="0"/>
    </xf>
    <xf borderId="3" fillId="0" fontId="7" numFmtId="0" xfId="0" applyAlignment="1" applyBorder="1" applyFont="1">
      <alignment horizontal="left" readingOrder="0" shrinkToFit="0" vertical="center" wrapText="0"/>
    </xf>
    <xf borderId="2" fillId="0" fontId="7" numFmtId="0" xfId="0" applyAlignment="1" applyBorder="1" applyFont="1">
      <alignment horizontal="left" readingOrder="0" shrinkToFit="0" vertical="center" wrapText="0"/>
    </xf>
    <xf borderId="2" fillId="0" fontId="8" numFmtId="0" xfId="0" applyAlignment="1" applyBorder="1" applyFont="1">
      <alignment horizontal="center" shrinkToFit="0" vertical="bottom" wrapText="0"/>
    </xf>
    <xf borderId="2" fillId="4" fontId="8" numFmtId="0" xfId="0" applyAlignment="1" applyBorder="1" applyFill="1" applyFont="1">
      <alignment readingOrder="0" shrinkToFit="0" vertical="bottom" wrapText="0"/>
    </xf>
    <xf borderId="2" fillId="5" fontId="8" numFmtId="166" xfId="0" applyAlignment="1" applyBorder="1" applyFill="1" applyFont="1" applyNumberFormat="1">
      <alignment readingOrder="0" shrinkToFit="0" vertical="bottom" wrapText="0"/>
    </xf>
    <xf borderId="2" fillId="5" fontId="8" numFmtId="0" xfId="0" applyAlignment="1" applyBorder="1" applyFont="1">
      <alignment readingOrder="0" shrinkToFit="0" vertical="bottom" wrapText="1"/>
    </xf>
    <xf borderId="2" fillId="5" fontId="8" numFmtId="0" xfId="0" applyAlignment="1" applyBorder="1" applyFont="1">
      <alignment readingOrder="0" shrinkToFit="0" vertical="bottom" wrapText="0"/>
    </xf>
    <xf borderId="2" fillId="6" fontId="7" numFmtId="0" xfId="0" applyAlignment="1" applyBorder="1" applyFill="1" applyFont="1">
      <alignment readingOrder="0" shrinkToFit="0" vertical="center" wrapText="0"/>
    </xf>
    <xf borderId="2" fillId="6" fontId="7" numFmtId="0" xfId="0" applyAlignment="1" applyBorder="1" applyFont="1">
      <alignment readingOrder="0" shrinkToFit="0" vertical="center" wrapText="0"/>
    </xf>
    <xf borderId="2" fillId="6" fontId="7" numFmtId="0" xfId="0" applyAlignment="1" applyBorder="1" applyFont="1">
      <alignment readingOrder="0" shrinkToFit="0" vertical="center" wrapText="1"/>
    </xf>
    <xf borderId="2" fillId="6" fontId="7" numFmtId="0" xfId="0" applyAlignment="1" applyBorder="1" applyFont="1">
      <alignment readingOrder="0" shrinkToFit="0" vertical="center" wrapText="1"/>
    </xf>
    <xf borderId="2" fillId="0" fontId="7" numFmtId="0" xfId="0" applyAlignment="1" applyBorder="1" applyFont="1">
      <alignment readingOrder="0" shrinkToFit="0" vertical="center" wrapText="0"/>
    </xf>
    <xf borderId="2" fillId="0" fontId="7" numFmtId="166" xfId="0" applyAlignment="1" applyBorder="1" applyFont="1" applyNumberFormat="1">
      <alignment readingOrder="0" shrinkToFit="0" vertical="center" wrapText="0"/>
    </xf>
    <xf borderId="2" fillId="0" fontId="9" numFmtId="0" xfId="0" applyAlignment="1" applyBorder="1" applyFont="1">
      <alignment readingOrder="0" shrinkToFit="0" vertical="center" wrapText="1"/>
    </xf>
    <xf borderId="2" fillId="0" fontId="7" numFmtId="0" xfId="0" applyAlignment="1" applyBorder="1" applyFont="1">
      <alignment readingOrder="0" shrinkToFit="0" vertical="center" wrapText="0"/>
    </xf>
    <xf borderId="2" fillId="0" fontId="7"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2" fillId="0" fontId="7" numFmtId="0" xfId="0" applyAlignment="1" applyBorder="1" applyFont="1">
      <alignment shrinkToFit="0" vertical="center" wrapText="0"/>
    </xf>
    <xf borderId="2" fillId="5" fontId="8" numFmtId="166" xfId="0" applyAlignment="1" applyBorder="1" applyFont="1" applyNumberFormat="1">
      <alignment shrinkToFit="0" vertical="bottom" wrapText="0"/>
    </xf>
    <xf borderId="2" fillId="0" fontId="7" numFmtId="0" xfId="0" applyAlignment="1" applyBorder="1" applyFont="1">
      <alignment shrinkToFit="0" vertical="center" wrapText="1"/>
    </xf>
    <xf borderId="2" fillId="0" fontId="7" numFmtId="0" xfId="0" applyAlignment="1" applyBorder="1" applyFont="1">
      <alignment shrinkToFit="0" vertical="center" wrapText="1"/>
    </xf>
    <xf borderId="2" fillId="0" fontId="7" numFmtId="166" xfId="0" applyAlignment="1" applyBorder="1" applyFont="1" applyNumberFormat="1">
      <alignment readingOrder="0" shrinkToFit="0" vertical="center" wrapText="1"/>
    </xf>
    <xf borderId="2" fillId="0" fontId="7" numFmtId="0" xfId="0" applyAlignment="1" applyBorder="1" applyFont="1">
      <alignment horizontal="center" readingOrder="0" shrinkToFit="0" vertical="center" wrapText="0"/>
    </xf>
    <xf borderId="2" fillId="0" fontId="8" numFmtId="0" xfId="0" applyAlignment="1" applyBorder="1" applyFont="1">
      <alignment readingOrder="0" shrinkToFit="0" vertical="center" wrapText="0"/>
    </xf>
    <xf borderId="2" fillId="0" fontId="7" numFmtId="0" xfId="0" applyAlignment="1" applyBorder="1" applyFont="1">
      <alignment shrinkToFit="0" vertical="center" wrapText="0"/>
    </xf>
    <xf borderId="2" fillId="0" fontId="7" numFmtId="0" xfId="0" applyAlignment="1" applyBorder="1" applyFont="1">
      <alignment horizontal="center" shrinkToFit="0" vertical="center" wrapText="0"/>
    </xf>
    <xf borderId="4" fillId="0" fontId="8" numFmtId="0" xfId="0" applyAlignment="1" applyBorder="1" applyFont="1">
      <alignment horizontal="right" shrinkToFit="0" vertical="bottom" wrapText="0"/>
    </xf>
    <xf borderId="2" fillId="4" fontId="8" numFmtId="0" xfId="0" applyAlignment="1" applyBorder="1" applyFont="1">
      <alignment shrinkToFit="0" vertical="bottom" wrapText="0"/>
    </xf>
    <xf borderId="2" fillId="5" fontId="8" numFmtId="0" xfId="0" applyAlignment="1" applyBorder="1" applyFont="1">
      <alignment shrinkToFit="0" vertical="bottom" wrapText="0"/>
    </xf>
    <xf borderId="2" fillId="0" fontId="10" numFmtId="0" xfId="0" applyAlignment="1" applyBorder="1" applyFont="1">
      <alignment readingOrder="0" shrinkToFit="0" vertical="center" wrapText="1"/>
    </xf>
    <xf borderId="4" fillId="3" fontId="7" numFmtId="0" xfId="0" applyAlignment="1" applyBorder="1" applyFont="1">
      <alignment readingOrder="0" shrinkToFit="0" vertical="center" wrapText="0"/>
    </xf>
    <xf borderId="2" fillId="3" fontId="7" numFmtId="0" xfId="0" applyAlignment="1" applyBorder="1" applyFont="1">
      <alignment readingOrder="0" shrinkToFit="0" vertical="center" wrapText="0"/>
    </xf>
    <xf borderId="2" fillId="3" fontId="7" numFmtId="0" xfId="0" applyAlignment="1" applyBorder="1" applyFont="1">
      <alignment shrinkToFit="0" vertical="center" wrapText="0"/>
    </xf>
    <xf borderId="2" fillId="3" fontId="7" numFmtId="0" xfId="0" applyAlignment="1" applyBorder="1" applyFont="1">
      <alignment shrinkToFit="0" vertical="center" wrapText="1"/>
    </xf>
    <xf borderId="2" fillId="3" fontId="7" numFmtId="0" xfId="0" applyAlignment="1" applyBorder="1" applyFont="1">
      <alignment readingOrder="0" shrinkToFit="0" vertical="center" wrapText="0"/>
    </xf>
    <xf borderId="2" fillId="6" fontId="7" numFmtId="0" xfId="0" applyAlignment="1" applyBorder="1" applyFont="1">
      <alignment readingOrder="0" shrinkToFit="0" vertical="center" wrapText="1"/>
    </xf>
    <xf borderId="2" fillId="3" fontId="7" numFmtId="0" xfId="0" applyAlignment="1" applyBorder="1" applyFont="1">
      <alignment readingOrder="0" shrinkToFit="0" vertical="center" wrapText="1"/>
    </xf>
    <xf borderId="4" fillId="3" fontId="8" numFmtId="0" xfId="0" applyAlignment="1" applyBorder="1" applyFont="1">
      <alignment horizontal="right" readingOrder="0" shrinkToFit="0" vertical="bottom" wrapText="0"/>
    </xf>
    <xf borderId="2" fillId="3" fontId="8" numFmtId="0" xfId="0" applyAlignment="1" applyBorder="1" applyFont="1">
      <alignment shrinkToFit="0" vertical="bottom" wrapText="0"/>
    </xf>
    <xf borderId="2" fillId="3" fontId="8" numFmtId="0" xfId="0" applyAlignment="1" applyBorder="1" applyFont="1">
      <alignment readingOrder="0" shrinkToFit="0" vertical="bottom" wrapText="0"/>
    </xf>
    <xf borderId="2" fillId="3" fontId="8" numFmtId="0" xfId="0" applyAlignment="1" applyBorder="1" applyFont="1">
      <alignment readingOrder="0" shrinkToFit="0" vertical="bottom" wrapText="1"/>
    </xf>
    <xf borderId="2" fillId="3" fontId="7" numFmtId="0" xfId="0" applyAlignment="1" applyBorder="1" applyFont="1">
      <alignment readingOrder="0" shrinkToFit="0" vertical="center" wrapText="1"/>
    </xf>
    <xf borderId="2" fillId="3" fontId="5" numFmtId="0" xfId="0" applyAlignment="1" applyBorder="1" applyFont="1">
      <alignment readingOrder="0" shrinkToFit="0" vertical="center" wrapText="1"/>
    </xf>
    <xf borderId="2" fillId="3" fontId="5" numFmtId="0" xfId="0" applyAlignment="1" applyBorder="1" applyFont="1">
      <alignment readingOrder="0" shrinkToFit="0" vertical="center" wrapText="1"/>
    </xf>
    <xf borderId="4" fillId="6" fontId="7" numFmtId="0" xfId="0" applyAlignment="1" applyBorder="1" applyFont="1">
      <alignment readingOrder="0" shrinkToFit="0" vertical="center" wrapText="0"/>
    </xf>
    <xf borderId="2" fillId="6" fontId="7" numFmtId="0" xfId="0" applyAlignment="1" applyBorder="1" applyFont="1">
      <alignment readingOrder="0" shrinkToFit="0" vertical="center" wrapText="0"/>
    </xf>
    <xf borderId="2" fillId="6" fontId="7" numFmtId="0" xfId="0" applyAlignment="1" applyBorder="1" applyFont="1">
      <alignment readingOrder="0" shrinkToFit="0" vertical="center" wrapText="0"/>
    </xf>
    <xf borderId="2" fillId="6" fontId="7" numFmtId="0" xfId="0" applyAlignment="1" applyBorder="1" applyFont="1">
      <alignment shrinkToFit="0" vertical="center" wrapText="0"/>
    </xf>
    <xf borderId="2" fillId="0" fontId="7" numFmtId="0" xfId="0" applyAlignment="1" applyBorder="1" applyFont="1">
      <alignment readingOrder="0" shrinkToFit="0" vertical="center" wrapText="0"/>
    </xf>
    <xf borderId="2" fillId="0" fontId="8" numFmtId="0" xfId="0" applyAlignment="1" applyBorder="1" applyFont="1">
      <alignment horizontal="right" shrinkToFit="0" vertical="bottom" wrapText="0"/>
    </xf>
    <xf borderId="2" fillId="6" fontId="7" numFmtId="166" xfId="0" applyAlignment="1" applyBorder="1" applyFont="1" applyNumberFormat="1">
      <alignment readingOrder="0" shrinkToFit="0" vertical="center" wrapText="0"/>
    </xf>
    <xf borderId="2" fillId="0" fontId="7" numFmtId="0" xfId="0" applyAlignment="1" applyBorder="1" applyFont="1">
      <alignment shrinkToFit="0" vertical="center" wrapText="0"/>
    </xf>
    <xf borderId="2" fillId="0" fontId="7" numFmtId="0" xfId="0" applyAlignment="1" applyBorder="1" applyFont="1">
      <alignment readingOrder="0" shrinkToFit="0" vertical="center" wrapText="1"/>
    </xf>
    <xf borderId="2" fillId="3" fontId="8" numFmtId="0" xfId="0" applyAlignment="1" applyBorder="1" applyFont="1">
      <alignment horizontal="right" readingOrder="0" shrinkToFit="0" vertical="bottom" wrapText="0"/>
    </xf>
    <xf borderId="2" fillId="0" fontId="7" numFmtId="0" xfId="0" applyAlignment="1" applyBorder="1" applyFont="1">
      <alignment readingOrder="0" shrinkToFit="0" vertical="center" wrapText="1"/>
    </xf>
    <xf borderId="2" fillId="3" fontId="7" numFmtId="0" xfId="0" applyAlignment="1" applyBorder="1" applyFont="1">
      <alignment readingOrder="0" shrinkToFit="0" vertical="center" wrapText="0"/>
    </xf>
    <xf borderId="2" fillId="3" fontId="5" numFmtId="0" xfId="0" applyAlignment="1" applyBorder="1" applyFont="1">
      <alignment horizontal="left" readingOrder="0" shrinkToFit="0" vertical="center" wrapText="1"/>
    </xf>
    <xf borderId="2" fillId="3" fontId="5" numFmtId="0" xfId="0" applyAlignment="1" applyBorder="1" applyFont="1">
      <alignment horizontal="center" readingOrder="0" shrinkToFit="0" vertical="center" wrapText="1"/>
    </xf>
    <xf borderId="2" fillId="3" fontId="8" numFmtId="0" xfId="0" applyAlignment="1" applyBorder="1" applyFont="1">
      <alignment horizontal="right" shrinkToFit="0" vertical="bottom" wrapText="0"/>
    </xf>
    <xf borderId="2" fillId="3" fontId="8" numFmtId="166" xfId="0" applyAlignment="1" applyBorder="1" applyFont="1" applyNumberFormat="1">
      <alignment readingOrder="0" shrinkToFit="0" vertical="bottom" wrapText="0"/>
    </xf>
    <xf borderId="2" fillId="3" fontId="11" numFmtId="0" xfId="0" applyAlignment="1" applyBorder="1" applyFont="1">
      <alignment readingOrder="0" shrinkToFit="0" vertical="center" wrapText="1"/>
    </xf>
    <xf borderId="2" fillId="2" fontId="5" numFmtId="0" xfId="0" applyAlignment="1" applyBorder="1" applyFont="1">
      <alignment readingOrder="0" shrinkToFit="0" vertical="bottom" wrapText="1"/>
    </xf>
    <xf borderId="2" fillId="5" fontId="12" numFmtId="0" xfId="0" applyAlignment="1" applyBorder="1" applyFont="1">
      <alignment shrinkToFit="0" vertical="center" wrapText="1"/>
    </xf>
    <xf borderId="2" fillId="2" fontId="5" numFmtId="0" xfId="0" applyAlignment="1" applyBorder="1" applyFont="1">
      <alignment readingOrder="0" shrinkToFit="0" vertical="center" wrapText="1"/>
    </xf>
    <xf borderId="2" fillId="2" fontId="5" numFmtId="0" xfId="0" applyAlignment="1" applyBorder="1" applyFont="1">
      <alignment readingOrder="0" shrinkToFit="0" vertical="center" wrapText="1"/>
    </xf>
    <xf borderId="2" fillId="2" fontId="5" numFmtId="0" xfId="0" applyAlignment="1" applyBorder="1" applyFont="1">
      <alignment readingOrder="0" shrinkToFit="0" vertical="bottom" wrapText="1"/>
    </xf>
    <xf borderId="2" fillId="0" fontId="7" numFmtId="0" xfId="0" applyAlignment="1" applyBorder="1" applyFont="1">
      <alignment shrinkToFit="0" vertical="center" wrapText="1"/>
    </xf>
    <xf borderId="5" fillId="3" fontId="5" numFmtId="0" xfId="0" applyAlignment="1" applyBorder="1" applyFont="1">
      <alignment readingOrder="0" shrinkToFit="0" vertical="center" wrapText="1"/>
    </xf>
    <xf borderId="2" fillId="7" fontId="7" numFmtId="0" xfId="0" applyAlignment="1" applyBorder="1" applyFill="1" applyFont="1">
      <alignment readingOrder="0" shrinkToFit="0" vertical="center" wrapText="1"/>
    </xf>
    <xf borderId="2" fillId="7" fontId="7" numFmtId="0" xfId="0" applyAlignment="1" applyBorder="1" applyFont="1">
      <alignment readingOrder="0" shrinkToFit="0" vertical="center" wrapText="1"/>
    </xf>
    <xf borderId="2" fillId="3" fontId="11" numFmtId="0" xfId="0" applyAlignment="1" applyBorder="1" applyFont="1">
      <alignment readingOrder="0" shrinkToFit="0" vertical="center" wrapText="1"/>
    </xf>
    <xf borderId="2" fillId="3" fontId="5" numFmtId="0" xfId="0" applyAlignment="1" applyBorder="1" applyFont="1">
      <alignment readingOrder="0" shrinkToFit="0" vertical="bottom" wrapText="1"/>
    </xf>
    <xf borderId="2" fillId="8" fontId="7" numFmtId="0" xfId="0" applyAlignment="1" applyBorder="1" applyFill="1" applyFont="1">
      <alignment readingOrder="0" shrinkToFit="0" vertical="center" wrapText="0"/>
    </xf>
    <xf borderId="2" fillId="8" fontId="7" numFmtId="0" xfId="0" applyAlignment="1" applyBorder="1" applyFont="1">
      <alignment readingOrder="0" shrinkToFit="0" vertical="center" wrapText="0"/>
    </xf>
    <xf borderId="2" fillId="8" fontId="7" numFmtId="0" xfId="0" applyAlignment="1" applyBorder="1" applyFont="1">
      <alignment shrinkToFit="0" vertical="center" wrapText="0"/>
    </xf>
    <xf borderId="2" fillId="8" fontId="7" numFmtId="0" xfId="0" applyAlignment="1" applyBorder="1" applyFont="1">
      <alignment readingOrder="0" shrinkToFit="0" vertical="center" wrapText="0"/>
    </xf>
    <xf borderId="2" fillId="8" fontId="13" numFmtId="0" xfId="0" applyAlignment="1" applyBorder="1" applyFont="1">
      <alignment readingOrder="0" shrinkToFit="0" vertical="center" wrapText="1"/>
    </xf>
    <xf borderId="2" fillId="8" fontId="14" numFmtId="0" xfId="0" applyAlignment="1" applyBorder="1" applyFont="1">
      <alignment horizontal="left" readingOrder="0" shrinkToFit="0" vertical="center" wrapText="1"/>
    </xf>
    <xf borderId="2" fillId="8" fontId="8" numFmtId="0" xfId="0" applyAlignment="1" applyBorder="1" applyFont="1">
      <alignment shrinkToFit="0" vertical="bottom" wrapText="0"/>
    </xf>
    <xf borderId="2" fillId="8" fontId="8" numFmtId="0" xfId="0" applyAlignment="1" applyBorder="1" applyFont="1">
      <alignment readingOrder="0" shrinkToFit="0" vertical="bottom" wrapText="0"/>
    </xf>
    <xf borderId="2" fillId="8" fontId="8" numFmtId="0" xfId="0" applyAlignment="1" applyBorder="1" applyFont="1">
      <alignment readingOrder="0" shrinkToFit="0" vertical="bottom" wrapText="1"/>
    </xf>
    <xf borderId="2" fillId="8" fontId="11" numFmtId="0" xfId="0" applyAlignment="1" applyBorder="1" applyFont="1">
      <alignment readingOrder="0" shrinkToFit="0" vertical="center" wrapText="1"/>
    </xf>
    <xf borderId="2" fillId="8" fontId="5" numFmtId="0" xfId="0" applyAlignment="1" applyBorder="1" applyFont="1">
      <alignment readingOrder="0" shrinkToFit="0" vertical="center" wrapText="1"/>
    </xf>
    <xf borderId="2" fillId="5" fontId="12" numFmtId="0" xfId="0" applyAlignment="1" applyBorder="1" applyFont="1">
      <alignment readingOrder="0" shrinkToFit="0" vertical="center" wrapText="1"/>
    </xf>
    <xf borderId="2" fillId="5" fontId="15" numFmtId="0" xfId="0" applyAlignment="1" applyBorder="1" applyFont="1">
      <alignment shrinkToFit="0" vertical="bottom" wrapText="0"/>
    </xf>
    <xf borderId="2" fillId="5" fontId="10" numFmtId="0" xfId="0" applyAlignment="1" applyBorder="1" applyFont="1">
      <alignment shrinkToFit="0" vertical="bottom" wrapText="0"/>
    </xf>
    <xf borderId="2" fillId="7" fontId="11" numFmtId="0" xfId="0" applyAlignment="1" applyBorder="1" applyFont="1">
      <alignment horizontal="center" shrinkToFit="0" vertical="center" wrapText="1"/>
    </xf>
    <xf borderId="2" fillId="5" fontId="16" numFmtId="0" xfId="0" applyAlignment="1" applyBorder="1" applyFont="1">
      <alignment shrinkToFit="0" vertical="center" wrapText="0"/>
    </xf>
    <xf borderId="2" fillId="5" fontId="12" numFmtId="166" xfId="0" applyAlignment="1" applyBorder="1" applyFont="1" applyNumberFormat="1">
      <alignment horizontal="right" shrinkToFit="0" vertical="center" wrapText="1"/>
    </xf>
    <xf borderId="2" fillId="3" fontId="7" numFmtId="0" xfId="0" applyAlignment="1" applyBorder="1" applyFont="1">
      <alignment readingOrder="0" shrinkToFit="0" vertical="center" wrapText="1"/>
    </xf>
    <xf borderId="2" fillId="7" fontId="7" numFmtId="0" xfId="0" applyAlignment="1" applyBorder="1" applyFont="1">
      <alignment shrinkToFit="0" vertical="center" wrapText="0"/>
    </xf>
    <xf borderId="2" fillId="7" fontId="7" numFmtId="0" xfId="0" applyAlignment="1" applyBorder="1" applyFont="1">
      <alignment shrinkToFit="0" vertical="center" wrapText="0"/>
    </xf>
    <xf borderId="2" fillId="5" fontId="11" numFmtId="0" xfId="0" applyAlignment="1" applyBorder="1" applyFont="1">
      <alignment horizontal="center" shrinkToFit="0" vertical="center" wrapText="1"/>
    </xf>
    <xf borderId="2" fillId="3" fontId="15" numFmtId="0" xfId="0" applyAlignment="1" applyBorder="1" applyFont="1">
      <alignment horizontal="right" readingOrder="0" shrinkToFit="0" vertical="bottom" wrapText="0"/>
    </xf>
    <xf borderId="2" fillId="3" fontId="15" numFmtId="0" xfId="0" applyAlignment="1" applyBorder="1" applyFont="1">
      <alignment shrinkToFit="0" vertical="bottom" wrapText="0"/>
    </xf>
    <xf borderId="2" fillId="3" fontId="10" numFmtId="0" xfId="0" applyAlignment="1" applyBorder="1" applyFont="1">
      <alignment shrinkToFit="0" vertical="bottom" wrapText="0"/>
    </xf>
    <xf borderId="2" fillId="3" fontId="10" numFmtId="0" xfId="0" applyAlignment="1" applyBorder="1" applyFont="1">
      <alignment shrinkToFit="0" vertical="bottom" wrapText="1"/>
    </xf>
    <xf borderId="2" fillId="3" fontId="10" numFmtId="0" xfId="0" applyAlignment="1" applyBorder="1" applyFont="1">
      <alignment shrinkToFit="0" vertical="bottom" wrapText="0"/>
    </xf>
    <xf borderId="2" fillId="3" fontId="12" numFmtId="0" xfId="0" applyAlignment="1" applyBorder="1" applyFont="1">
      <alignment readingOrder="0" shrinkToFit="0" vertical="center" wrapText="1"/>
    </xf>
    <xf borderId="2" fillId="3" fontId="10" numFmtId="0" xfId="0" applyAlignment="1" applyBorder="1" applyFont="1">
      <alignment readingOrder="0" shrinkToFit="0" vertical="center" wrapText="1"/>
    </xf>
    <xf borderId="2" fillId="3" fontId="10" numFmtId="0" xfId="0" applyAlignment="1" applyBorder="1" applyFont="1">
      <alignment readingOrder="0" shrinkToFit="0" vertical="center" wrapText="1"/>
    </xf>
    <xf borderId="2" fillId="5" fontId="16" numFmtId="0" xfId="0" applyAlignment="1" applyBorder="1" applyFont="1">
      <alignment readingOrder="0" shrinkToFit="0" vertical="center" wrapText="0"/>
    </xf>
    <xf borderId="5" fillId="0" fontId="7" numFmtId="0" xfId="0" applyAlignment="1" applyBorder="1" applyFont="1">
      <alignment readingOrder="0" shrinkToFit="0" vertical="center" wrapText="1"/>
    </xf>
    <xf borderId="2" fillId="3" fontId="11" numFmtId="0" xfId="0" applyAlignment="1" applyBorder="1" applyFont="1">
      <alignment horizontal="center" shrinkToFit="0" vertical="center" wrapText="1"/>
    </xf>
    <xf borderId="6" fillId="6" fontId="7" numFmtId="0" xfId="0" applyAlignment="1" applyBorder="1" applyFont="1">
      <alignment readingOrder="0" shrinkToFit="0" vertical="center" wrapText="1"/>
    </xf>
    <xf borderId="2" fillId="0" fontId="7" numFmtId="0" xfId="0" applyAlignment="1" applyBorder="1" applyFont="1">
      <alignment readingOrder="0" shrinkToFit="0" vertical="center" wrapText="0"/>
    </xf>
    <xf borderId="2" fillId="3" fontId="8" numFmtId="0" xfId="0" applyAlignment="1" applyBorder="1" applyFont="1">
      <alignment shrinkToFit="0" vertical="bottom" wrapText="0"/>
    </xf>
    <xf borderId="2" fillId="3" fontId="8" numFmtId="0" xfId="0" applyAlignment="1" applyBorder="1" applyFont="1">
      <alignment shrinkToFit="0" vertical="bottom" wrapText="1"/>
    </xf>
    <xf borderId="2" fillId="0" fontId="7" numFmtId="0" xfId="0" applyAlignment="1" applyBorder="1" applyFont="1">
      <alignment shrinkToFit="0" vertical="center" wrapText="0"/>
    </xf>
    <xf borderId="2" fillId="3" fontId="13" numFmtId="0" xfId="0" applyAlignment="1" applyBorder="1" applyFont="1">
      <alignment horizontal="left" readingOrder="0" shrinkToFit="0" vertical="center" wrapText="1"/>
    </xf>
    <xf borderId="2" fillId="0" fontId="9" numFmtId="0" xfId="0" applyAlignment="1" applyBorder="1" applyFont="1">
      <alignment readingOrder="0" shrinkToFit="0" vertical="center" wrapText="1"/>
    </xf>
    <xf borderId="2" fillId="3" fontId="17" numFmtId="0" xfId="0" applyAlignment="1" applyBorder="1" applyFont="1">
      <alignment readingOrder="0" shrinkToFit="0" vertical="center" wrapText="1"/>
    </xf>
    <xf borderId="2" fillId="3" fontId="17" numFmtId="0" xfId="0" applyAlignment="1" applyBorder="1" applyFont="1">
      <alignment readingOrder="0" shrinkToFit="0" vertical="bottom" wrapText="1"/>
    </xf>
    <xf borderId="2" fillId="3" fontId="17" numFmtId="0" xfId="0" applyAlignment="1" applyBorder="1" applyFont="1">
      <alignment readingOrder="0" shrinkToFit="0" vertical="bottom" wrapText="1"/>
    </xf>
    <xf borderId="2" fillId="3" fontId="7" numFmtId="166" xfId="0" applyAlignment="1" applyBorder="1" applyFont="1" applyNumberFormat="1">
      <alignment readingOrder="0" shrinkToFit="0" vertical="center" wrapText="0"/>
    </xf>
    <xf borderId="2" fillId="3" fontId="5" numFmtId="0" xfId="0" applyAlignment="1" applyBorder="1" applyFont="1">
      <alignment readingOrder="0" shrinkToFit="0" vertical="center" wrapText="1"/>
    </xf>
    <xf borderId="2" fillId="3" fontId="7" numFmtId="0" xfId="0" applyAlignment="1" applyBorder="1" applyFont="1">
      <alignment readingOrder="0" shrinkToFit="0" vertical="center" wrapText="0"/>
    </xf>
    <xf borderId="0" fillId="0" fontId="7" numFmtId="0" xfId="0" applyAlignment="1" applyFont="1">
      <alignment shrinkToFit="0" wrapText="1"/>
    </xf>
    <xf borderId="0" fillId="0" fontId="7" numFmtId="0" xfId="0" applyAlignment="1" applyFont="1">
      <alignment shrinkToFit="0" vertical="center" wrapText="1"/>
    </xf>
    <xf borderId="2" fillId="0" fontId="6" numFmtId="0" xfId="0" applyAlignment="1" applyBorder="1" applyFont="1">
      <alignment readingOrder="0"/>
    </xf>
    <xf borderId="2" fillId="0" fontId="6" numFmtId="49" xfId="0" applyAlignment="1" applyBorder="1" applyFont="1" applyNumberFormat="1">
      <alignment readingOrder="0"/>
    </xf>
    <xf borderId="2" fillId="0" fontId="6" numFmtId="0" xfId="0" applyAlignment="1" applyBorder="1" applyFont="1">
      <alignment readingOrder="0" shrinkToFit="0" wrapText="1"/>
    </xf>
    <xf borderId="2" fillId="0" fontId="7" numFmtId="0" xfId="0" applyAlignment="1" applyBorder="1" applyFont="1">
      <alignment readingOrder="0"/>
    </xf>
    <xf borderId="2" fillId="0" fontId="7" numFmtId="0" xfId="0" applyAlignment="1" applyBorder="1" applyFont="1">
      <alignment readingOrder="0" shrinkToFit="0" vertical="center" wrapText="1"/>
    </xf>
    <xf borderId="0" fillId="0" fontId="7" numFmtId="0" xfId="0" applyAlignment="1" applyFont="1">
      <alignment readingOrder="0"/>
    </xf>
    <xf borderId="0" fillId="0" fontId="7" numFmtId="0" xfId="0" applyAlignment="1" applyFont="1">
      <alignment readingOrder="0"/>
    </xf>
    <xf borderId="2" fillId="0" fontId="7" numFmtId="0" xfId="0" applyAlignment="1" applyBorder="1" applyFont="1">
      <alignment readingOrder="0"/>
    </xf>
    <xf borderId="4" fillId="0" fontId="8" numFmtId="0" xfId="0" applyAlignment="1" applyBorder="1" applyFont="1">
      <alignment horizontal="right" vertical="bottom"/>
    </xf>
    <xf borderId="2" fillId="4" fontId="8" numFmtId="0" xfId="0" applyAlignment="1" applyBorder="1" applyFont="1">
      <alignment vertical="bottom"/>
    </xf>
    <xf borderId="2" fillId="5" fontId="8" numFmtId="166" xfId="0" applyAlignment="1" applyBorder="1" applyFont="1" applyNumberFormat="1">
      <alignment readingOrder="0" vertical="bottom"/>
    </xf>
    <xf borderId="2" fillId="5" fontId="8" numFmtId="0" xfId="0" applyAlignment="1" applyBorder="1" applyFont="1">
      <alignment readingOrder="0" shrinkToFit="0" vertical="bottom" wrapText="1"/>
    </xf>
    <xf borderId="2" fillId="5" fontId="8" numFmtId="0" xfId="0" applyAlignment="1" applyBorder="1" applyFont="1">
      <alignment vertical="bottom"/>
    </xf>
    <xf borderId="2" fillId="0" fontId="7" numFmtId="0" xfId="0" applyAlignment="1" applyBorder="1" applyFont="1">
      <alignment readingOrder="0" shrinkToFit="0" wrapText="1"/>
    </xf>
    <xf borderId="2" fillId="0" fontId="10" numFmtId="0" xfId="0" applyAlignment="1" applyBorder="1" applyFont="1">
      <alignment readingOrder="0" shrinkToFit="0" wrapText="1"/>
    </xf>
    <xf borderId="2" fillId="0" fontId="7" numFmtId="0" xfId="0" applyAlignment="1" applyBorder="1" applyFont="1">
      <alignment readingOrder="0" shrinkToFit="0" vertical="center" wrapText="1"/>
    </xf>
    <xf borderId="2" fillId="0" fontId="7" numFmtId="166" xfId="0" applyAlignment="1" applyBorder="1" applyFont="1" applyNumberFormat="1">
      <alignment readingOrder="0" shrinkToFit="0" wrapText="1"/>
    </xf>
    <xf borderId="2" fillId="0" fontId="7" numFmtId="0" xfId="0" applyAlignment="1" applyBorder="1" applyFont="1">
      <alignment readingOrder="0" shrinkToFit="0" wrapText="1"/>
    </xf>
    <xf borderId="2" fillId="0" fontId="7" numFmtId="0" xfId="0" applyBorder="1" applyFont="1"/>
    <xf borderId="4" fillId="3" fontId="7" numFmtId="0" xfId="0" applyAlignment="1" applyBorder="1" applyFont="1">
      <alignment readingOrder="0"/>
    </xf>
    <xf borderId="2" fillId="3" fontId="7" numFmtId="0" xfId="0" applyAlignment="1" applyBorder="1" applyFont="1">
      <alignment readingOrder="0"/>
    </xf>
    <xf borderId="2" fillId="3" fontId="7" numFmtId="0" xfId="0" applyBorder="1" applyFont="1"/>
    <xf borderId="2" fillId="3" fontId="7" numFmtId="0" xfId="0" applyAlignment="1" applyBorder="1" applyFont="1">
      <alignment shrinkToFit="0" wrapText="1"/>
    </xf>
    <xf borderId="2" fillId="6" fontId="7" numFmtId="0" xfId="0" applyAlignment="1" applyBorder="1" applyFont="1">
      <alignment readingOrder="0" shrinkToFit="0" wrapText="1"/>
    </xf>
    <xf borderId="2" fillId="3" fontId="7" numFmtId="0" xfId="0" applyAlignment="1" applyBorder="1" applyFont="1">
      <alignment readingOrder="0" shrinkToFit="0" wrapText="1"/>
    </xf>
    <xf borderId="2" fillId="0" fontId="7" numFmtId="166" xfId="0" applyAlignment="1" applyBorder="1" applyFont="1" applyNumberFormat="1">
      <alignment readingOrder="0"/>
    </xf>
    <xf borderId="2" fillId="0" fontId="7" numFmtId="0" xfId="0" applyAlignment="1" applyBorder="1" applyFont="1">
      <alignment readingOrder="0"/>
    </xf>
    <xf borderId="4" fillId="3" fontId="8" numFmtId="0" xfId="0" applyAlignment="1" applyBorder="1" applyFont="1">
      <alignment horizontal="right" readingOrder="0" vertical="bottom"/>
    </xf>
    <xf borderId="2" fillId="3" fontId="8" numFmtId="0" xfId="0" applyAlignment="1" applyBorder="1" applyFont="1">
      <alignment vertical="bottom"/>
    </xf>
    <xf borderId="2" fillId="3" fontId="8" numFmtId="0" xfId="0" applyAlignment="1" applyBorder="1" applyFont="1">
      <alignment readingOrder="0" vertical="bottom"/>
    </xf>
    <xf borderId="2" fillId="3" fontId="8" numFmtId="0" xfId="0" applyAlignment="1" applyBorder="1" applyFont="1">
      <alignment readingOrder="0" shrinkToFit="0" vertical="bottom" wrapText="1"/>
    </xf>
    <xf borderId="4" fillId="6" fontId="7" numFmtId="0" xfId="0" applyAlignment="1" applyBorder="1" applyFont="1">
      <alignment readingOrder="0"/>
    </xf>
    <xf borderId="2" fillId="6" fontId="7" numFmtId="0" xfId="0" applyAlignment="1" applyBorder="1" applyFont="1">
      <alignment readingOrder="0"/>
    </xf>
    <xf borderId="2" fillId="6" fontId="7" numFmtId="0" xfId="0" applyAlignment="1" applyBorder="1" applyFont="1">
      <alignment readingOrder="0"/>
    </xf>
    <xf borderId="2" fillId="6" fontId="7" numFmtId="0" xfId="0" applyBorder="1" applyFont="1"/>
    <xf borderId="2" fillId="0" fontId="9" numFmtId="0" xfId="0" applyAlignment="1" applyBorder="1" applyFont="1">
      <alignment readingOrder="0" shrinkToFit="0" wrapText="1"/>
    </xf>
    <xf borderId="2" fillId="0" fontId="8" numFmtId="0" xfId="0" applyAlignment="1" applyBorder="1" applyFont="1">
      <alignment horizontal="right" vertical="bottom"/>
    </xf>
    <xf borderId="2" fillId="6" fontId="7" numFmtId="166" xfId="0" applyAlignment="1" applyBorder="1" applyFont="1" applyNumberFormat="1">
      <alignment readingOrder="0"/>
    </xf>
    <xf borderId="2" fillId="5" fontId="8" numFmtId="0" xfId="0" applyAlignment="1" applyBorder="1" applyFont="1">
      <alignment readingOrder="0" vertical="bottom"/>
    </xf>
    <xf borderId="2" fillId="6" fontId="7" numFmtId="0" xfId="0" applyAlignment="1" applyBorder="1" applyFont="1">
      <alignment readingOrder="0"/>
    </xf>
    <xf borderId="2" fillId="6" fontId="7" numFmtId="0" xfId="0" applyAlignment="1" applyBorder="1" applyFont="1">
      <alignment readingOrder="0" shrinkToFit="0" wrapText="1"/>
    </xf>
    <xf borderId="2" fillId="0" fontId="7" numFmtId="0" xfId="0" applyBorder="1" applyFont="1"/>
    <xf borderId="2" fillId="3" fontId="8" numFmtId="0" xfId="0" applyAlignment="1" applyBorder="1" applyFont="1">
      <alignment horizontal="right" readingOrder="0" vertical="bottom"/>
    </xf>
    <xf borderId="2" fillId="0" fontId="7" numFmtId="0" xfId="0" applyAlignment="1" applyBorder="1" applyFont="1">
      <alignment readingOrder="0" shrinkToFit="0" wrapText="1"/>
    </xf>
    <xf borderId="2" fillId="3" fontId="7" numFmtId="0" xfId="0" applyAlignment="1" applyBorder="1" applyFont="1">
      <alignment readingOrder="0"/>
    </xf>
    <xf borderId="2" fillId="3" fontId="5" numFmtId="0" xfId="0" applyAlignment="1" applyBorder="1" applyFont="1">
      <alignment horizontal="left" readingOrder="0" shrinkToFit="0" wrapText="1"/>
    </xf>
    <xf borderId="2" fillId="3" fontId="5" numFmtId="0" xfId="0" applyAlignment="1" applyBorder="1" applyFont="1">
      <alignment horizontal="center" readingOrder="0" shrinkToFit="0" wrapText="1"/>
    </xf>
    <xf borderId="2" fillId="3" fontId="8" numFmtId="0" xfId="0" applyAlignment="1" applyBorder="1" applyFont="1">
      <alignment horizontal="right" vertical="bottom"/>
    </xf>
    <xf borderId="2" fillId="3" fontId="8" numFmtId="166" xfId="0" applyAlignment="1" applyBorder="1" applyFont="1" applyNumberFormat="1">
      <alignment readingOrder="0" vertical="bottom"/>
    </xf>
    <xf borderId="2" fillId="3" fontId="11" numFmtId="0" xfId="0" applyAlignment="1" applyBorder="1" applyFont="1">
      <alignment readingOrder="0" shrinkToFit="0" wrapText="1"/>
    </xf>
    <xf borderId="2" fillId="2" fontId="5" numFmtId="0" xfId="0" applyAlignment="1" applyBorder="1" applyFont="1">
      <alignment readingOrder="0" shrinkToFit="0" vertical="bottom" wrapText="1"/>
    </xf>
    <xf borderId="2" fillId="5" fontId="12" numFmtId="0" xfId="0" applyAlignment="1" applyBorder="1" applyFont="1">
      <alignment shrinkToFit="0" wrapText="1"/>
    </xf>
    <xf borderId="2" fillId="2" fontId="5" numFmtId="0" xfId="0" applyAlignment="1" applyBorder="1" applyFont="1">
      <alignment readingOrder="0" shrinkToFit="0" vertical="center" wrapText="1"/>
    </xf>
    <xf borderId="2" fillId="0" fontId="7" numFmtId="0" xfId="0" applyAlignment="1" applyBorder="1" applyFont="1">
      <alignment shrinkToFit="0" wrapText="1"/>
    </xf>
    <xf borderId="0" fillId="3" fontId="5" numFmtId="0" xfId="0" applyAlignment="1" applyFont="1">
      <alignment readingOrder="0" shrinkToFit="0" vertical="center" wrapText="1"/>
    </xf>
    <xf borderId="2" fillId="3" fontId="5" numFmtId="0" xfId="0" applyAlignment="1" applyBorder="1" applyFont="1">
      <alignment horizontal="left" readingOrder="0" shrinkToFit="0" vertical="center" wrapText="1"/>
    </xf>
    <xf borderId="2" fillId="7" fontId="7" numFmtId="0" xfId="0" applyAlignment="1" applyBorder="1" applyFont="1">
      <alignment readingOrder="0" shrinkToFit="0" wrapText="1"/>
    </xf>
    <xf borderId="2" fillId="7" fontId="7" numFmtId="0" xfId="0" applyAlignment="1" applyBorder="1" applyFont="1">
      <alignment readingOrder="0" shrinkToFit="0" wrapText="1"/>
    </xf>
    <xf borderId="2" fillId="3" fontId="7" numFmtId="0" xfId="0" applyAlignment="1" applyBorder="1" applyFont="1">
      <alignment readingOrder="0"/>
    </xf>
    <xf borderId="2" fillId="8" fontId="7" numFmtId="0" xfId="0" applyAlignment="1" applyBorder="1" applyFont="1">
      <alignment readingOrder="0"/>
    </xf>
    <xf borderId="2" fillId="8" fontId="7" numFmtId="0" xfId="0" applyAlignment="1" applyBorder="1" applyFont="1">
      <alignment readingOrder="0"/>
    </xf>
    <xf borderId="2" fillId="8" fontId="7" numFmtId="0" xfId="0" applyBorder="1" applyFont="1"/>
    <xf borderId="2" fillId="8" fontId="13" numFmtId="0" xfId="0" applyAlignment="1" applyBorder="1" applyFont="1">
      <alignment readingOrder="0" shrinkToFit="0" wrapText="1"/>
    </xf>
    <xf borderId="2" fillId="8" fontId="14" numFmtId="0" xfId="0" applyAlignment="1" applyBorder="1" applyFont="1">
      <alignment horizontal="left" readingOrder="0" shrinkToFit="0" wrapText="1"/>
    </xf>
    <xf borderId="2" fillId="8" fontId="8" numFmtId="0" xfId="0" applyAlignment="1" applyBorder="1" applyFont="1">
      <alignment vertical="bottom"/>
    </xf>
    <xf borderId="2" fillId="8" fontId="8" numFmtId="0" xfId="0" applyAlignment="1" applyBorder="1" applyFont="1">
      <alignment readingOrder="0" vertical="bottom"/>
    </xf>
    <xf borderId="2" fillId="8" fontId="8" numFmtId="0" xfId="0" applyAlignment="1" applyBorder="1" applyFont="1">
      <alignment readingOrder="0" shrinkToFit="0" vertical="bottom" wrapText="1"/>
    </xf>
    <xf borderId="2" fillId="8" fontId="11" numFmtId="0" xfId="0" applyAlignment="1" applyBorder="1" applyFont="1">
      <alignment readingOrder="0" shrinkToFit="0" wrapText="1"/>
    </xf>
    <xf borderId="2" fillId="8" fontId="5" numFmtId="0" xfId="0" applyAlignment="1" applyBorder="1" applyFont="1">
      <alignment readingOrder="0" shrinkToFit="0" vertical="center" wrapText="1"/>
    </xf>
    <xf borderId="2" fillId="5" fontId="12" numFmtId="0" xfId="0" applyAlignment="1" applyBorder="1" applyFont="1">
      <alignment readingOrder="0" shrinkToFit="0" wrapText="1"/>
    </xf>
    <xf borderId="2" fillId="5" fontId="15" numFmtId="0" xfId="0" applyAlignment="1" applyBorder="1" applyFont="1">
      <alignment shrinkToFit="0" vertical="bottom" wrapText="0"/>
    </xf>
    <xf borderId="2" fillId="5" fontId="10" numFmtId="0" xfId="0" applyAlignment="1" applyBorder="1" applyFont="1">
      <alignment vertical="bottom"/>
    </xf>
    <xf borderId="2" fillId="7" fontId="11" numFmtId="0" xfId="0" applyAlignment="1" applyBorder="1" applyFont="1">
      <alignment horizontal="center" shrinkToFit="0" wrapText="1"/>
    </xf>
    <xf borderId="2" fillId="5" fontId="16" numFmtId="0" xfId="0" applyAlignment="1" applyBorder="1" applyFont="1">
      <alignment shrinkToFit="0" wrapText="0"/>
    </xf>
    <xf borderId="2" fillId="5" fontId="12" numFmtId="166" xfId="0" applyAlignment="1" applyBorder="1" applyFont="1" applyNumberFormat="1">
      <alignment horizontal="right" shrinkToFit="0" wrapText="1"/>
    </xf>
    <xf borderId="2" fillId="3" fontId="7" numFmtId="0" xfId="0" applyAlignment="1" applyBorder="1" applyFont="1">
      <alignment readingOrder="0" shrinkToFit="0" wrapText="1"/>
    </xf>
    <xf borderId="2" fillId="7" fontId="7" numFmtId="0" xfId="0" applyBorder="1" applyFont="1"/>
    <xf borderId="2" fillId="5" fontId="11" numFmtId="0" xfId="0" applyAlignment="1" applyBorder="1" applyFont="1">
      <alignment horizontal="center" shrinkToFit="0" wrapText="1"/>
    </xf>
    <xf borderId="2" fillId="3" fontId="15" numFmtId="0" xfId="0" applyAlignment="1" applyBorder="1" applyFont="1">
      <alignment horizontal="right" readingOrder="0" shrinkToFit="0" vertical="bottom" wrapText="0"/>
    </xf>
    <xf borderId="2" fillId="3" fontId="15" numFmtId="0" xfId="0" applyAlignment="1" applyBorder="1" applyFont="1">
      <alignment shrinkToFit="0" vertical="bottom" wrapText="0"/>
    </xf>
    <xf borderId="2" fillId="3" fontId="10" numFmtId="0" xfId="0" applyAlignment="1" applyBorder="1" applyFont="1">
      <alignment vertical="bottom"/>
    </xf>
    <xf borderId="2" fillId="3" fontId="10" numFmtId="0" xfId="0" applyAlignment="1" applyBorder="1" applyFont="1">
      <alignment shrinkToFit="0" vertical="bottom" wrapText="1"/>
    </xf>
    <xf borderId="2" fillId="3" fontId="10" numFmtId="0" xfId="0" applyAlignment="1" applyBorder="1" applyFont="1">
      <alignment vertical="bottom"/>
    </xf>
    <xf borderId="2" fillId="3" fontId="12" numFmtId="0" xfId="0" applyAlignment="1" applyBorder="1" applyFont="1">
      <alignment readingOrder="0" shrinkToFit="0" wrapText="1"/>
    </xf>
    <xf borderId="2" fillId="5" fontId="16" numFmtId="0" xfId="0" applyAlignment="1" applyBorder="1" applyFont="1">
      <alignment readingOrder="0" shrinkToFit="0" wrapText="0"/>
    </xf>
    <xf borderId="0" fillId="0" fontId="7" numFmtId="0" xfId="0" applyAlignment="1" applyFont="1">
      <alignment readingOrder="0" shrinkToFit="0" wrapText="1"/>
    </xf>
    <xf borderId="2" fillId="3" fontId="11" numFmtId="0" xfId="0" applyAlignment="1" applyBorder="1" applyFont="1">
      <alignment horizontal="center" shrinkToFit="0" wrapText="1"/>
    </xf>
    <xf borderId="0" fillId="6" fontId="7" numFmtId="0" xfId="0" applyAlignment="1" applyFont="1">
      <alignment readingOrder="0" shrinkToFit="0" wrapText="1"/>
    </xf>
    <xf borderId="2" fillId="3" fontId="8" numFmtId="0" xfId="0" applyAlignment="1" applyBorder="1" applyFont="1">
      <alignment vertical="bottom"/>
    </xf>
    <xf borderId="2" fillId="3" fontId="8" numFmtId="0" xfId="0" applyAlignment="1" applyBorder="1" applyFont="1">
      <alignment shrinkToFit="0" vertical="bottom" wrapText="1"/>
    </xf>
    <xf borderId="2" fillId="3" fontId="13" numFmtId="0" xfId="0" applyAlignment="1" applyBorder="1" applyFont="1">
      <alignment horizontal="left" readingOrder="0" shrinkToFit="0" wrapText="1"/>
    </xf>
    <xf borderId="2" fillId="3" fontId="7" numFmtId="166" xfId="0" applyAlignment="1" applyBorder="1" applyFont="1" applyNumberFormat="1">
      <alignment readingOrder="0"/>
    </xf>
    <xf borderId="0" fillId="0" fontId="7" numFmtId="4" xfId="0" applyFont="1" applyNumberFormat="1"/>
    <xf borderId="0" fillId="0" fontId="7" numFmtId="0" xfId="0" applyFont="1"/>
    <xf borderId="0" fillId="0" fontId="7" numFmtId="10" xfId="0" applyFont="1" applyNumberFormat="1"/>
    <xf borderId="0" fillId="0" fontId="7" numFmtId="0" xfId="0" applyAlignment="1" applyFont="1">
      <alignment horizontal="center" readingOrder="0"/>
    </xf>
    <xf borderId="0" fillId="0" fontId="7" numFmtId="0" xfId="0" applyAlignment="1" applyFont="1">
      <alignment horizontal="center"/>
    </xf>
    <xf borderId="0" fillId="9" fontId="7" numFmtId="0" xfId="0" applyAlignment="1" applyFill="1" applyFont="1">
      <alignment readingOrder="0"/>
    </xf>
    <xf borderId="0" fillId="3" fontId="7" numFmtId="4" xfId="0" applyFont="1" applyNumberFormat="1"/>
    <xf borderId="0" fillId="10" fontId="7" numFmtId="4" xfId="0" applyFill="1" applyFont="1" applyNumberFormat="1"/>
    <xf borderId="2" fillId="3" fontId="4" numFmtId="164" xfId="0" applyAlignment="1" applyBorder="1" applyFont="1" applyNumberFormat="1">
      <alignment horizontal="left" readingOrder="0" shrinkToFit="0" vertical="bottom" wrapText="0"/>
    </xf>
    <xf borderId="2" fillId="3" fontId="4" numFmtId="0" xfId="0" applyAlignment="1" applyBorder="1" applyFont="1">
      <alignment horizontal="left" readingOrder="0" shrinkToFit="0" vertical="bottom" wrapText="0"/>
    </xf>
    <xf borderId="2" fillId="3" fontId="4" numFmtId="0" xfId="0" applyAlignment="1" applyBorder="1" applyFont="1">
      <alignment horizontal="left" readingOrder="0" shrinkToFit="0" vertical="bottom" wrapText="1"/>
    </xf>
    <xf borderId="2" fillId="3" fontId="4" numFmtId="0" xfId="0" applyAlignment="1" applyBorder="1" applyFont="1">
      <alignment horizontal="left" readingOrder="0" shrinkToFit="0" vertical="bottom" wrapText="0"/>
    </xf>
    <xf borderId="2" fillId="3" fontId="4" numFmtId="0" xfId="0" applyAlignment="1" applyBorder="1" applyFont="1">
      <alignment horizontal="left" readingOrder="0" shrinkToFit="0" vertical="center" wrapText="1"/>
    </xf>
    <xf borderId="2" fillId="3" fontId="3" numFmtId="164" xfId="0" applyAlignment="1" applyBorder="1" applyFont="1" applyNumberFormat="1">
      <alignment horizontal="left" readingOrder="0" shrinkToFit="0" vertical="bottom" wrapText="0"/>
    </xf>
    <xf borderId="2" fillId="3" fontId="3" numFmtId="0" xfId="0" applyAlignment="1" applyBorder="1" applyFont="1">
      <alignment horizontal="left" readingOrder="0" shrinkToFit="0" vertical="bottom" wrapText="0"/>
    </xf>
    <xf borderId="7" fillId="0" fontId="7" numFmtId="0" xfId="0" applyAlignment="1" applyBorder="1" applyFont="1">
      <alignment horizontal="left" readingOrder="0" shrinkToFit="0" vertical="center" wrapText="0"/>
    </xf>
    <xf borderId="2" fillId="0" fontId="7" numFmtId="0" xfId="0" applyAlignment="1" applyBorder="1" applyFont="1">
      <alignment shrinkToFit="0" vertical="center" wrapText="0"/>
    </xf>
    <xf borderId="2" fillId="0" fontId="7" numFmtId="0" xfId="0" applyAlignment="1" applyBorder="1" applyFont="1">
      <alignment readingOrder="0" shrinkToFit="0" vertical="center" wrapText="0"/>
    </xf>
    <xf borderId="2" fillId="5" fontId="12" numFmtId="0" xfId="0" applyAlignment="1" applyBorder="1" applyFont="1">
      <alignment shrinkToFit="0" vertical="center" wrapText="0"/>
    </xf>
    <xf borderId="2" fillId="5" fontId="10" numFmtId="0" xfId="0" applyAlignment="1" applyBorder="1" applyFont="1">
      <alignment shrinkToFit="0" vertical="bottom" wrapText="1"/>
    </xf>
    <xf borderId="2" fillId="5" fontId="12" numFmtId="0" xfId="0" applyAlignment="1" applyBorder="1" applyFont="1">
      <alignment shrinkToFit="0" vertical="center" wrapText="1"/>
    </xf>
    <xf borderId="2" fillId="3" fontId="5" numFmtId="0" xfId="0" applyAlignment="1" applyBorder="1" applyFont="1">
      <alignment horizontal="left" readingOrder="0" shrinkToFit="0" vertical="bottom" wrapText="1"/>
    </xf>
    <xf borderId="2" fillId="0" fontId="8" numFmtId="0" xfId="0" applyAlignment="1" applyBorder="1" applyFont="1">
      <alignment horizontal="center" readingOrder="0" shrinkToFit="0" vertical="bottom" wrapText="0"/>
    </xf>
  </cellXfs>
  <cellStyles count="1">
    <cellStyle xfId="0" name="Normal" builtinId="0"/>
  </cellStyles>
  <dxfs count="6">
    <dxf>
      <font/>
      <fill>
        <patternFill patternType="none"/>
      </fill>
      <border/>
    </dxf>
    <dxf>
      <font/>
      <fill>
        <patternFill patternType="solid">
          <fgColor rgb="FFD0E0E3"/>
          <bgColor rgb="FFD0E0E3"/>
        </patternFill>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8F9FA"/>
          <bgColor rgb="FFF8F9FA"/>
        </patternFill>
      </fill>
      <border/>
    </dxf>
    <dxf>
      <font/>
      <fill>
        <patternFill patternType="solid">
          <fgColor rgb="FFCFEAF3"/>
          <bgColor rgb="FFCFEAF3"/>
        </patternFill>
      </fill>
      <border/>
    </dxf>
  </dxfs>
  <tableStyles count="6">
    <tableStyle count="3" pivot="0" name="Service UpdatesRepairs Log-style">
      <tableStyleElement dxfId="1" type="headerRow"/>
      <tableStyleElement dxfId="2" type="firstRowStripe"/>
      <tableStyleElement dxfId="2" type="secondRowStripe"/>
    </tableStyle>
    <tableStyle count="3" pivot="0" name="J&amp;J Fleet-style">
      <tableStyleElement dxfId="3" type="headerRow"/>
      <tableStyleElement dxfId="2" type="firstRowStripe"/>
      <tableStyleElement dxfId="4" type="secondRowStripe"/>
    </tableStyle>
    <tableStyle count="3" pivot="0" name="DM Fleet-style">
      <tableStyleElement dxfId="3" type="headerRow"/>
      <tableStyleElement dxfId="2" type="firstRowStripe"/>
      <tableStyleElement dxfId="4" type="secondRowStripe"/>
    </tableStyle>
    <tableStyle count="3" pivot="0" name="CAH Service UpdatesRepairs Log-style">
      <tableStyleElement dxfId="5" type="headerRow"/>
      <tableStyleElement dxfId="2" type="firstRowStripe"/>
      <tableStyleElement dxfId="2" type="secondRowStripe"/>
    </tableStyle>
    <tableStyle count="3" pivot="0" name="CAH Fleet-style">
      <tableStyleElement dxfId="3" type="headerRow"/>
      <tableStyleElement dxfId="2" type="firstRowStripe"/>
      <tableStyleElement dxfId="4" type="secondRowStripe"/>
    </tableStyle>
    <tableStyle count="3" pivot="0" name="Demo Sheet-style">
      <tableStyleElement dxfId="3" type="headerRow"/>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'DM Pivot'!$B$2</c:f>
            </c:strRef>
          </c:tx>
          <c:dPt>
            <c:idx val="0"/>
            <c:spPr>
              <a:solidFill>
                <a:srgbClr val="4285F4"/>
              </a:solidFill>
              <a:ln cmpd="sng" w="9525">
                <a:solidFill>
                  <a:srgbClr val="999999"/>
                </a:solidFill>
              </a:ln>
            </c:spPr>
          </c:dPt>
          <c:dPt>
            <c:idx val="1"/>
            <c:spPr>
              <a:solidFill>
                <a:srgbClr val="EA4335"/>
              </a:solidFill>
              <a:ln cmpd="sng" w="9525">
                <a:solidFill>
                  <a:srgbClr val="999999"/>
                </a:solidFill>
              </a:ln>
            </c:spPr>
          </c:dPt>
          <c:dPt>
            <c:idx val="2"/>
            <c:spPr>
              <a:solidFill>
                <a:srgbClr val="FBBC04"/>
              </a:solidFill>
              <a:ln cmpd="sng" w="9525">
                <a:solidFill>
                  <a:srgbClr val="999999"/>
                </a:solidFill>
              </a:ln>
            </c:spPr>
          </c:dPt>
          <c:dLbls>
            <c:showLegendKey val="0"/>
            <c:showVal val="1"/>
            <c:showCatName val="0"/>
            <c:showSerName val="0"/>
            <c:showPercent val="0"/>
            <c:showBubbleSize val="0"/>
            <c:showLeaderLines val="1"/>
          </c:dLbls>
          <c:cat>
            <c:strRef>
              <c:f>'DM Pivot'!$A$3:$A$5</c:f>
            </c:strRef>
          </c:cat>
          <c:val>
            <c:numRef>
              <c:f>'DM Pivot'!$B$3:$B$5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Time Spent per Event Type</a:t>
            </a:r>
          </a:p>
        </c:rich>
      </c:tx>
      <c:overlay val="0"/>
    </c:title>
    <c:view3D>
      <c:rotX val="15"/>
      <c:rotY val="20"/>
      <c:depthPercent val="100"/>
      <c:rAngAx val="1"/>
    </c:view3D>
    <c:plotArea>
      <c:layout/>
      <c:bar3DChart>
        <c:barDir val="col"/>
        <c:grouping val="clustered"/>
        <c:ser>
          <c:idx val="0"/>
          <c:order val="0"/>
          <c:tx>
            <c:strRef>
              <c:f>'DM Pivot'!$E$2</c:f>
            </c:strRef>
          </c:tx>
          <c:spPr>
            <a:solidFill>
              <a:schemeClr val="accent1"/>
            </a:solidFill>
            <a:ln cmpd="sng">
              <a:solidFill>
                <a:srgbClr val="000000"/>
              </a:solidFill>
            </a:ln>
          </c:spPr>
          <c:dPt>
            <c:idx val="0"/>
          </c:dPt>
          <c:cat>
            <c:strRef>
              <c:f>'DM Pivot'!$A$3:$A$5</c:f>
            </c:strRef>
          </c:cat>
          <c:val>
            <c:numRef>
              <c:f>'DM Pivot'!$E$3:$E$5</c:f>
              <c:numCache/>
            </c:numRef>
          </c:val>
        </c:ser>
        <c:axId val="1089377149"/>
        <c:axId val="2139068431"/>
      </c:bar3DChart>
      <c:catAx>
        <c:axId val="1089377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Event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2139068431"/>
      </c:catAx>
      <c:valAx>
        <c:axId val="2139068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Hours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937714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Events</a:t>
            </a:r>
          </a:p>
        </c:rich>
      </c:tx>
      <c:overlay val="0"/>
    </c:title>
    <c:plotArea>
      <c:layout/>
      <c:pieChart>
        <c:varyColors val="1"/>
        <c:ser>
          <c:idx val="0"/>
          <c:order val="0"/>
          <c:tx>
            <c:strRef>
              <c:f>'DM Pivot'!$B$39</c:f>
            </c:strRef>
          </c:tx>
          <c:dPt>
            <c:idx val="0"/>
            <c:spPr>
              <a:solidFill>
                <a:srgbClr val="4285F4"/>
              </a:solidFill>
            </c:spPr>
          </c:dPt>
          <c:dPt>
            <c:idx val="1"/>
            <c:explosion val="0"/>
            <c:spPr>
              <a:solidFill>
                <a:srgbClr val="EA4335"/>
              </a:solidFill>
            </c:spPr>
          </c:dPt>
          <c:dPt>
            <c:idx val="2"/>
            <c:spPr>
              <a:solidFill>
                <a:srgbClr val="FBBC04"/>
              </a:solidFill>
            </c:spPr>
          </c:dPt>
          <c:dPt>
            <c:idx val="3"/>
            <c:explosion val="0"/>
            <c:spPr>
              <a:solidFill>
                <a:srgbClr val="34A853"/>
              </a:solidFill>
            </c:spPr>
          </c:dPt>
          <c:dPt>
            <c:idx val="4"/>
            <c:explosion val="0"/>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explosion val="0"/>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Lbls>
            <c:showLegendKey val="0"/>
            <c:showVal val="0"/>
            <c:showCatName val="0"/>
            <c:showSerName val="0"/>
            <c:showPercent val="0"/>
            <c:showBubbleSize val="0"/>
            <c:showLeaderLines val="1"/>
          </c:dLbls>
          <c:cat>
            <c:strRef>
              <c:f>'DM Pivot'!$A$40:$A$51</c:f>
            </c:strRef>
          </c:cat>
          <c:val>
            <c:numRef>
              <c:f>'DM Pivot'!$B$40:$B$51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Events and Time</a:t>
            </a:r>
          </a:p>
        </c:rich>
      </c:tx>
      <c:overlay val="0"/>
    </c:title>
    <c:view3D>
      <c:rotX val="15"/>
      <c:rotY val="20"/>
      <c:depthPercent val="100"/>
      <c:rAngAx val="1"/>
    </c:view3D>
    <c:plotArea>
      <c:layout/>
      <c:bar3DChart>
        <c:barDir val="bar"/>
        <c:grouping val="stacked"/>
        <c:ser>
          <c:idx val="0"/>
          <c:order val="0"/>
          <c:tx>
            <c:v>Number of Records</c:v>
          </c:tx>
          <c:spPr>
            <a:solidFill>
              <a:schemeClr val="accent1"/>
            </a:solidFill>
            <a:ln cmpd="sng">
              <a:solidFill>
                <a:srgbClr val="000000"/>
              </a:solidFill>
            </a:ln>
          </c:spPr>
          <c:dLbls>
            <c:numFmt formatCode="General" sourceLinked="1"/>
            <c:txPr>
              <a:bodyPr/>
              <a:lstStyle/>
              <a:p>
                <a:pPr lvl="0">
                  <a:defRPr b="1">
                    <a:latin typeface="Roboto"/>
                  </a:defRPr>
                </a:pPr>
              </a:p>
            </c:txPr>
            <c:showLegendKey val="0"/>
            <c:showVal val="1"/>
            <c:showCatName val="0"/>
            <c:showSerName val="0"/>
            <c:showPercent val="0"/>
            <c:showBubbleSize val="0"/>
          </c:dLbls>
          <c:cat>
            <c:strRef>
              <c:f>'DM Pivot'!$A$3:$A$5</c:f>
            </c:strRef>
          </c:cat>
          <c:val>
            <c:numRef>
              <c:f>'DM Pivot'!$B$3:$B$5</c:f>
              <c:numCache/>
            </c:numRef>
          </c:val>
        </c:ser>
        <c:ser>
          <c:idx val="1"/>
          <c:order val="1"/>
          <c:tx>
            <c:v>Total Time (Hours)</c:v>
          </c:tx>
          <c:spPr>
            <a:solidFill>
              <a:schemeClr val="accent2"/>
            </a:solidFill>
            <a:ln cmpd="sng">
              <a:solidFill>
                <a:srgbClr val="000000"/>
              </a:solidFill>
            </a:ln>
          </c:spPr>
          <c:dLbls>
            <c:numFmt formatCode="General" sourceLinked="1"/>
            <c:txPr>
              <a:bodyPr/>
              <a:lstStyle/>
              <a:p>
                <a:pPr lvl="0">
                  <a:defRPr b="1">
                    <a:latin typeface="Roboto"/>
                  </a:defRPr>
                </a:pPr>
              </a:p>
            </c:txPr>
            <c:showLegendKey val="0"/>
            <c:showVal val="1"/>
            <c:showCatName val="0"/>
            <c:showSerName val="0"/>
            <c:showPercent val="0"/>
            <c:showBubbleSize val="0"/>
          </c:dLbls>
          <c:cat>
            <c:strRef>
              <c:f>'DM Pivot'!$A$3:$A$5</c:f>
            </c:strRef>
          </c:cat>
          <c:val>
            <c:numRef>
              <c:f>'DM Pivot'!$E$3:$E$5</c:f>
              <c:numCache/>
            </c:numRef>
          </c:val>
        </c:ser>
        <c:axId val="1232558208"/>
        <c:axId val="1222928229"/>
      </c:bar3DChart>
      <c:catAx>
        <c:axId val="12325582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Event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222928229"/>
      </c:catAx>
      <c:valAx>
        <c:axId val="12229282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255820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18</xdr:row>
      <xdr:rowOff>180975</xdr:rowOff>
    </xdr:from>
    <xdr:ext cx="5153025" cy="3209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1419225</xdr:colOff>
      <xdr:row>19</xdr:row>
      <xdr:rowOff>47625</xdr:rowOff>
    </xdr:from>
    <xdr:ext cx="5029200" cy="3143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53</xdr:row>
      <xdr:rowOff>76200</xdr:rowOff>
    </xdr:from>
    <xdr:ext cx="6172200" cy="38195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190500</xdr:colOff>
      <xdr:row>6</xdr:row>
      <xdr:rowOff>47625</xdr:rowOff>
    </xdr:from>
    <xdr:ext cx="6038850" cy="24003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377" sheet="DM Fleet"/>
  </cacheSource>
  <cacheFields>
    <cacheField name="Bots" numFmtId="0">
      <sharedItems containsSemiMixedTypes="0" containsString="0" containsNumber="1" containsInteger="1">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59.0"/>
        <n v="461.0"/>
        <n v="462.0"/>
      </sharedItems>
    </cacheField>
    <cacheField name="Customer" numFmtId="0">
      <sharedItems>
        <s v="DM"/>
      </sharedItems>
    </cacheField>
    <cacheField name="Deployment Date" numFmtId="0">
      <sharedItems containsDate="1" containsString="0" containsBlank="1">
        <m/>
        <d v="2025-02-14T00:00:00Z"/>
        <d v="2025-04-30T00:00:00Z"/>
      </sharedItems>
    </cacheField>
    <cacheField name="Address" numFmtId="0">
      <sharedItems containsBlank="1">
        <s v="1001 Premier Pkwy, St Peters, MO 63376"/>
        <m/>
        <s v="1002 Premier Pkwy, St Peters, MO 63376"/>
        <s v="1003 Premier Pkwy, St Peters, MO 63376"/>
        <s v="1004 Premier Pkwy, St Peters, MO 63376"/>
        <s v="1005 Premier Pkwy, St Peters, MO 63376"/>
        <s v="1006 Premier Pkwy, St Peters, MO 63376"/>
        <s v="1007 Premier Pkwy, St Peters, MO 63376"/>
        <s v="1008 Premier Pkwy, St Peters, MO 63376"/>
        <s v="1009 Premier Pkwy, St Peters, MO 63376"/>
        <s v="1010 Premier Pkwy, St Peters, MO 63376"/>
        <s v="1011 Premier Pkwy, St Peters, MO 63376"/>
        <s v="1012 Premier Pkwy, St Peters, MO 63376"/>
        <s v="1013 Premier Pkwy, St Peters, MO 63376"/>
        <s v="1014 Premier Pkwy, St Peters, MO 63376"/>
        <s v="1015 Premier Pkwy, St Peters, MO 63376"/>
        <s v="1016 Premier Pkwy, St Peters, MO 63376"/>
        <s v="1017 Premier Pkwy, St Peters, MO 63376"/>
        <s v="1018 Premier Pkwy, St Peters, MO 63376"/>
        <s v="1019 Premier Pkwy, St Peters, MO 63376"/>
        <s v="1020 Premier Pkwy, St Peters, MO 63376"/>
        <s v="1021 Premier Pkwy, St Peters, MO 63376"/>
        <s v="1022 Premier Pkwy, St Peters, MO 63376"/>
        <s v="1023 Premier Pkwy, St Peters, MO 63376"/>
        <s v="1024 Premier Pkwy, St Peters, MO 63376"/>
        <s v="1025 Premier Pkwy, St Peters, MO 63376"/>
        <s v="1026 Premier Pkwy, St Peters, MO 63376"/>
        <s v="1027 Premier Pkwy, St Peters, MO 63376"/>
        <s v="1028 Premier Pkwy, St Peters, MO 63376"/>
        <s v="1029 Premier Pkwy, St Peters, MO 63376"/>
        <s v="1030 Premier Pkwy, St Peters, MO 63376"/>
        <s v="1031 Premier Pkwy, St Peters, MO 63376"/>
        <s v="1032 Premier Pkwy, St Peters, MO 63376"/>
        <s v="1033 Premier Pkwy, St Peters, MO 63376"/>
        <s v="1034 Premier Pkwy, St Peters, MO 63376"/>
        <s v="1035 Premier Pkwy, St Peters, MO 63376"/>
        <s v="1036 Premier Pkwy, St Peters, MO 63376"/>
      </sharedItems>
    </cacheField>
    <cacheField name="Top Mod Configuration" numFmtId="0">
      <sharedItems containsBlank="1">
        <s v="2 Shelf Configuration"/>
        <m/>
        <s v="2 Shelf Configuration "/>
      </sharedItems>
    </cacheField>
    <cacheField name="Event Type" numFmtId="0">
      <sharedItems>
        <s v="Campaign"/>
        <s v="Service"/>
        <s v="Deployment"/>
      </sharedItems>
    </cacheField>
    <cacheField name="Main Group" numFmtId="0">
      <sharedItems containsBlank="1">
        <s v="Top Module"/>
        <s v="Platform"/>
        <s v="Platform, Top Module"/>
        <m/>
        <s v="Preventative Maintenance"/>
        <s v="Battery"/>
      </sharedItems>
    </cacheField>
    <cacheField name="Subset" numFmtId="0">
      <sharedItems containsBlank="1">
        <s v="Handle"/>
        <s v="Firmware"/>
        <s v="E-Stops"/>
        <s v="Motor"/>
        <s v="Blue Safety Light"/>
        <m/>
        <s v="HMI"/>
        <s v="PM"/>
        <s v="RGo"/>
        <s v="Body / Trim"/>
        <s v="Safety System"/>
        <s v="SLA System"/>
        <s v="Battery"/>
      </sharedItems>
    </cacheField>
    <cacheField name="Observation / Service Request" numFmtId="0">
      <sharedItems containsBlank="1">
        <s v="Retrofit, Install handle stabilizer"/>
        <s v="Retrofit. Update SICK Safety and Logic Card firmware"/>
        <s v="Retrofit. Upgrade bot's safety system with lighted E-Stops (4ea)"/>
        <s v="Hall Effect Sensor Test"/>
        <s v="Retrofit. Update Logic Card firmware"/>
        <s v="Retrofit. Update HMIs firmware"/>
        <s v="Retrofit. Blue Safety Light lock washer install and positioning."/>
        <m/>
        <s v="Center HMI position not functioning on each side. Evaluate and service top mod - center HMIs - **single position not functioning "/>
        <s v="Preventative Maintenance"/>
        <s v="RGo Performance concern. Possibly replace camera subassembly"/>
        <s v="Retrofit. Upgrade bot's safety system with lighted E-Stops (4ea). **Verify version of RGo - Jaguar board  "/>
        <s v="Perception box performance issues**Verified RGo Jaguar board as 1.3v "/>
        <s v="RGo Calibrations"/>
        <s v="Driving condition - RGo performance issue. Replace RGo subassembly. "/>
        <s v="Blue safety light - loose (swivel) "/>
        <s v="Replace WiFi Card"/>
        <s v="Broken lower shelf clamp"/>
        <s v="Cracked corner board lense"/>
        <s v="Drive issue, Re-phase Golden motors"/>
        <s v="Undesirable contact incident - Ticket created. Inspect for damage"/>
        <s v="Rear handle E-stop lights flickering."/>
        <s v="Failed hot-swap. Evaluate SLA voltage and replace if necessary"/>
        <s v="E-Stop hanging out of handle housing, Install E-Stop lock washer"/>
        <s v="Possible corner board issue - use compressed air to clean and inspect for fingerprints or smudging on corner board lenses."/>
        <s v="Lower #2 bravo side HMI observed off track"/>
        <s v="Main board meltdown, replace main board, logic card. **Crate for return to Pittsburgh"/>
        <s v="Bot powered off shortly after powering on. Possible user error - due to &quot;long press&quot;. Evaluate power cycling, replace coin cell battery."/>
        <s v="Manual Mode button not operating correctly. Operator states its as if pushing the bot with the brakes on. Evaluate /Replace Man. Mode button"/>
        <s v="Antenna broken - Replace antenna"/>
        <s v="SICK Safety Lidar in fault state"/>
        <s v="LiDar issue (Red status lights and state on the LiDAR UI says &quot;waiting for inputs&quot;"/>
        <s v="Bot turns off right after powering on. Replace coin cell battery in Logic Card"/>
        <s v="Powers off shortly after powering on, Evaluate power-up cycle"/>
        <s v="Sensory - &quot;lawnmower&quot; noise. **1st Attempt a rephase of the motors."/>
        <s v="Shipped to site - returned to service"/>
        <s v="Tracking poorly, Possible encoder issue. Re-phase Golden motors"/>
        <s v="Rotating E-Stop button on handle. Install E-Stop lock washer"/>
        <s v="Perception box performance issues**Verified RGo Jaguar board as 1.1v. Replace board with newer version"/>
        <s v="Lower shelf HMI damage and missing HMI / shelf corner stop."/>
        <s v="HMI. #1 alpha (top and bottom) shelf HMIs off track. Inspect functionality, reset into track or replace if necessary."/>
        <s v="Unidentified motor issue"/>
        <s v="Replace RGo camera subassembly"/>
        <s v="Retrofit. Upgrade bot's safety system with lighted E-Stops (4ea). **Verify version of RGo - Jaguar board  (**if version is &lt;1.3v, replace Jaguar board)"/>
        <s v="Install E-Stop lock washer"/>
        <s v="Broken / missing bot number flag and top cap. **3D print and Replace top cap and number flag (440)"/>
        <s v="Missing ID flag. Needs replacement"/>
        <s v="Battery unintentionally &quot;popping out&quot; of battery compartment. Inspect latching hardware on both battery housing and bot platform and alignment track."/>
        <s v="RGo has expressed concern about the IMU (we were not aware that there are camera modules here and we do not have ESD protection) Possibly replace camera subassembly."/>
        <s v="Rear E-stop lights flickering."/>
        <s v="RGo Performance concern. Possibly replace camera subassembly."/>
        <s v="Corner lens and skins damaged"/>
        <s v="Manual Mode button not operating correctly. Operator states its as if pushing the bot with the brakes on. Inspect Manual Mode button for proper operation"/>
        <s v="Sarah reports in Slack 5/21/25- operational/safety beeping is sounding like an &quot;injured animal&quot;. Evaluate purple lidar plate and speaker for loose mounting screws and excessive vibration.  "/>
        <s v="&quot;Bad&quot; IMU - Discuss with Sparsh"/>
        <s v="Failed hot-swap, evaluate SLA voltage and replace if neccessary"/>
        <s v="E-stop remains illuminated when depressed."/>
        <s v="Front E-Stop handle &quot;wobble&quot;. Evaluate handle stabilizer."/>
      </sharedItems>
    </cacheField>
    <cacheField name="Completed" numFmtId="0">
      <sharedItems containsBlank="1">
        <s v="Complete"/>
        <m/>
        <s v="Scheduled"/>
      </sharedItems>
    </cacheField>
    <cacheField name="Date Completed">
      <sharedItems containsDate="1" containsBlank="1" containsMixedTypes="1">
        <d v="2025-03-20T00:00:00Z"/>
        <d v="2025-05-12T00:00:00Z"/>
        <d v="2025-05-13T00:00:00Z"/>
        <d v="2025-05-19T00:00:00Z"/>
        <d v="2025-06-10T00:00:00Z"/>
        <m/>
        <d v="2025-05-01T00:00:00Z"/>
        <d v="2025-03-21T00:00:00Z"/>
        <d v="2025-05-05T00:00:00Z"/>
        <d v="2025-04-09T00:00:00Z"/>
        <d v="2025-04-30T00:00:00Z"/>
        <d v="2025-05-29T00:00:00Z"/>
        <d v="2025-04-08T00:00:00Z"/>
        <s v="612/25"/>
        <d v="2025-06-11T00:00:00Z"/>
        <d v="2025-06-16T00:00:00Z"/>
        <d v="2025-06-12T00:00:00Z"/>
        <n v="-601049.0"/>
        <d v="2025-05-28T00:00:00Z"/>
      </sharedItems>
    </cacheField>
    <cacheField name="Status" numFmtId="0">
      <sharedItems containsBlank="1">
        <m/>
        <s v="In Service"/>
        <s v="Out of Service"/>
      </sharedItems>
    </cacheField>
    <cacheField name="Comments" numFmtId="0">
      <sharedItems containsBlank="1">
        <s v="2x stabilizers installed (14min) "/>
        <m/>
        <s v="All 6 LEDs are illuminating and displaying signal communication."/>
        <s v="Newest version flashed (0.10.1 version)"/>
        <s v="Newest version flashed (0.8.0 version)"/>
        <s v="Position Blue Light at a standardized 4ft projection an add 2x lock washers for stability."/>
        <s v="2x stabilizers installed (15min) "/>
        <s v="Top shelf HMIs (2/3) on both alpha and bravo sides observed to be off-bottom-tracks (Gen 1 type) and inset into shelf. Initial power up testing proved all lights illuminated properly. Removed underside of shelf disconnected power and communication from 2 "/>
        <s v="Cleaned top mod shelves and platform with microfiber towel. Cleaned Lidar, RGo, corner board assemblies and 3D Cam system with compressed air. Inspected for damage and debris. Inspected shelf clamps and HMI assemblies. Successfully tested E-Stop functiona"/>
        <s v="2x stabilizers installed "/>
        <s v="*DM Get Well campaign, Replaced with Jag 1.4v"/>
        <s v="*DM Get Well campaign: Completed RGo plate physical calibration and RGo Out-of-Box Calibration"/>
        <s v="Replaced RGo subassembly.n Out of Service - Onsite"/>
        <s v="2x stabilizers installed (12min) "/>
        <s v="WiFi Card replaced "/>
        <s v="2x stabilizers installed"/>
        <s v="B side successfully phased, initialized and saved (-18397 steps), A side successfully phased, initialized and saved (-18401 steps). New map added by Sparsh and staged for awaiting localization. "/>
        <s v="2x stabilizers installed (16min) "/>
        <s v="No notable damage physical observed. Proceeded with PM service."/>
        <s v="Button's harness and ground replaced (*Areej)"/>
        <s v="  Removed both A and B side skins. Voltage on B side:#2=50.3v, #1=38.6v, A side #2 =23.2v, #1=9.91v.  Replaced #1 with new SLA (12.96v). Successfully Tested hot-swap function with battery ejected for 60 seconds before inserting new battery."/>
        <s v="Lock washer installed by Zach M."/>
        <s v="Cleaned and inspected corner boards. Used compressed air to blow out 4x corner boards and a clean microfiber towel to wipe surrounding fascia. No observed signs of damage or residual residue."/>
        <s v="Removed HMI end caps on bottom shelf. Raised shelf to access and remove underside. Disconnected communication and power from #2 and #3 HMI to gain travel for removal, and better inspection view of track under #2 HMI. Inspection resulted in track being bow"/>
        <s v="2x stabilizers installed (13min) "/>
        <s v="**Return to Pitt for further evaluation. 1) Eject battery 2) Power off (if necessary) 3) Briefly observe for flame and extreme heat 4) Open top plates on platform 5) Re-evaluate for open flame and heat source) Provide/seek open ventilation 7) Allow to coo"/>
        <s v="Successfully Power cycled battery 3x consecutively. Depressed power button for 3 - 4 seconds until audible click was heard and immediately released. Bot powered on and continued through initialization stage. Allowed bot to remain &quot;on&quot; for 3 minutes before"/>
        <s v="Handle harness connected securely - Confirmed Manual Mode button is functioning properly"/>
        <s v="Hands only. Unscrewed and Replaced top module antenna "/>
        <s v="3 LEDs on Hall1 illuminated successfully, Only 1 LED on Hall2 (HAU) communicated signal and illuminated during test."/>
        <s v="SICK Safety Lidar initially displaying a (yellow) contamination warning. Cleaned lidar with compressed air and micro fiber. Immediately cleared fault state and returned to normal operating display. Returned to the fleet for OOB and production testing."/>
        <s v="SICK Safety issue identified within power harness. Loose ground connection identified at power &quot;in&quot; stone. Positive connection re-established and returned system to normal operating condition."/>
        <s v="2x stabilizers installed (14min), E-Stop observed tight on each handle - continued with stab. install."/>
        <s v="Lift bottom shelf, remove top plate to gain access to logic card. Removed coin cell battery from Logic Card and replaced with new battery. Note: Place battery under 2x small copper connector tabs on right side of battery seat (if looking at Logic Card fro"/>
        <s v="Bot powered on successfully 3x with extended &quot;on&quot; run time without issue. Power button depressed for 3 - 5 seconds until audible click was heard and immediately let go. Bot powered up and continued in a powered state during all testing successfully. **Bot"/>
        <s v="Initial power up phase completed without repeating &quot;lawn mower&quot; sound. Bravo side motor phasing successfully completed with a step count of -18399 steps. Jog test also successful with 2 full rotations both forward and backward. Alpha side took repeated (3"/>
        <s v="**Shipped to site - Uncrate bot, returned to service"/>
        <s v="2x stabilizers installed (18min) "/>
        <s v="*DM Get Well campaign, Replaced with Jag 1.4v, Completed RGo plate physical calibration and RGo Out-of-Box Calibration"/>
        <s v="&quot;Out of Service&quot; HW Eng replaced camera subassembly, condition still exists. Software Team working on fix."/>
        <s v="2x stabilizers installed (10min) "/>
        <s v="&quot;Out of Service&quot; - A side successfully phased, initialized and saved (-18394 steps), Side B displays error state in control panel with prompt - &quot;Latched fault: Motor Phasing Error&quot; along with the motor output lit in red &quot;error&quot; even after enabling STO - m"/>
        <s v="**Shipped to site - Uncrate bot returned to service"/>
        <s v="2x stabilizers installed (11min)"/>
        <s v="Opened E-Stop handles. Installed lock washers on both handles."/>
        <s v="Blew off corner boards with compressed air. Inspected for cleanliness. No evidence of smudging or fingerprints on lenses."/>
        <s v="2x stabilizers installed (17min) "/>
        <s v="Removed HMI end caps on both top and bottom alpha shelves. Rail inspection resulted in upper plastic tracking being bent back inwards or out of initial alignment with strip adhesive. Disconnected communication cable from #1 HMI to allow more travel and ac"/>
        <s v="3 LEDs on Hall1 illuminated successfully, Only 2 LEDs on Hall2 (HAU &amp; HBW) communicated signal and illuminated during test.Inspection of Hall2 connection at Copley board is observed without damage and intact."/>
        <s v="Motors successfully rephased,"/>
        <s v="2x stabilizers installed  "/>
        <s v="RGo camera replaced. Diagnostics completed with Smit and Sam. Preliminary results look positive. RGo cleared perception box for production. New map added by Sparsh and staged for awaiting localization. Localized and sent back to production"/>
        <s v="E-Stop observed tight. Disassembled both handles. Added lock washers to both E-Stops."/>
        <s v="No detrimental damage found. 1x lower alpha HMI found to be off track. Disconnected communication cable from #1 HMI to allow more travel and access to plastic track. Realigned center #2 HMI on lower shelf. Power up and FAT test resulted in all properly il"/>
        <s v="Blew off corner boards with compressed air. Inspected for cleanliness. No evidence of smudging or fingerprints on lenses. No observed damage on all corners of plastic fascia surrounds. "/>
        <s v="2x stabilizers installed (11min) "/>
        <s v="Replaced both 440 name flags. Both top caps observed in good working condition and able to reuse. 1x slotted top cap left onsite."/>
        <s v="(*I1 LED on sick brick is a constant flashing red, cornerboard LEDs solid red/white sequence (E-Stopped condition). MS LED flashing red on SICK Card #2. Lighted buttons have been tested and found in good working condition. Diagnosed as &quot;bad&quot; rear handle E"/>
        <s v="*DM Get Well campaign, Replaced with Jag 1.3v, Completed RGo plate physical calibration and RGo Out-of-Box Calibration"/>
        <s v="HW Eng replaced camera subassembly, condition still exists. Software working on fix."/>
        <s v="Handle opened for harness evaluation. &quot;Fast-on&quot; Spade connectors physically adjusted (by hand) to remedy flickering LED in button. "/>
        <s v="2x stabilizers installed (22min) "/>
        <s v="&quot;Out of Service&quot; HW Eng replaced camera subassembly, condition still exists. Software working on fix."/>
        <s v="Latching hardware on battery found to be structurally tight and in working condition. Battery eject button observed to be loosened in platform. Plastic locknut tightened to factory state and returned to normal operation."/>
        <s v="Blew off corner boards with compressed air. Inspected for cleanliness. No evidence of smudging or fingerprints on lenses. **Some evidence of minor rubbing/bumping on plastic fascia around rear Bravo side lenses, but no impact or obstruction to lenses. "/>
        <s v="RGo Camera subassembly replaced. Physical and OOB calibration completed."/>
        <s v="2x stabilizers installed (9min) "/>
        <s v="RGo subassembly replaced. Physical and OOB calibration completed."/>
        <s v="Handle disassembled, button, harness and connector functioning properly as a normally open switch circuit. Removed Alpha bottom cover to inspect lower harness and connections. All connections and pins   observed in good condition. "/>
        <s v="Mute switch on Logic Card accidentally turned to &quot;on&quot;"/>
        <s v="Replaced RGo subassembly per Sparsh/Jack"/>
        <s v=" **Confirmed failure - address on 4/9/25. Removed both A and B side skins. Voltage on Bravo side:#2=50.6v, #1=38.6v, Alpha side #2 =11.7v, #1=24.63v.  Replaced #2 with new SLA (12.94v). Successfully Tested hot-swap function with battery ejected for 60 sec"/>
        <s v="Unable to replicate. E-stop operating normally."/>
        <s v="Logic card initially fails to update 5/12. Logic card successfully flashed to newest version 5/13 with support from Pitt office (Tengar) using alternative Logic Card flash process."/>
      </sharedItems>
    </cacheField>
    <cacheField name="Time (min)" numFmtId="0">
      <sharedItems containsString="0" containsBlank="1" containsNumber="1" containsInteger="1">
        <n v="14.0"/>
        <n v="25.0"/>
        <n v="75.0"/>
        <n v="6.0"/>
        <n v="15.0"/>
        <n v="5.0"/>
        <n v="8.0"/>
        <m/>
        <n v="60.0"/>
        <n v="20.0"/>
        <n v="23.0"/>
        <n v="11.0"/>
        <n v="12.0"/>
        <n v="36.0"/>
        <n v="13.0"/>
        <n v="33.0"/>
        <n v="16.0"/>
        <n v="10.0"/>
        <n v="35.0"/>
        <n v="22.0"/>
        <n v="65.0"/>
        <n v="38.0"/>
        <n v="55.0"/>
        <n v="18.0"/>
        <n v="50.0"/>
        <n v="3.0"/>
        <n v="17.0"/>
        <n v="32.0"/>
        <n v="30.0"/>
        <n v="2.0"/>
        <n v="21.0"/>
        <n v="9.0"/>
        <n v="51.0"/>
      </sharedItems>
    </cacheField>
    <cacheField name="Tools" numFmtId="0">
      <sharedItems containsBlank="1">
        <m/>
        <s v="12v cordless Impact drill, right angle drill attachment, T20 Torx bit, Logic Card serial cable, Laptop, "/>
        <s v="12v cordless Impact drill, right angle drill attachment, T20 Torx bit, T20 Torx extended bit, long nose locking pliers, stubby handle driver, T10 Torx driver, knee pad"/>
        <s v="12v cordless impact drill, right angle drill attachment, T20 Torx bit, stubby handle driver, 3/16&quot; flathead screwdriver bit, knee pad"/>
        <s v="Stubby driver handle, T30 Torx bit, #2 Phillips driver bit, 3D printed positioning fixture (4ft)"/>
        <s v="Magnetic driver handle, 2mm driver bit, PH1 driver bit, stubby driver handle, knee pad"/>
        <s v="Compressed air, microfiber towel, lamp"/>
        <s v="12v cordless Impact drill, right angle drill attachment, T20 Torx bit, USB to RS232 serial cable, Laptop, "/>
        <s v="12v cordless Impact drill, right angle drill attachment, T20 Torx bit, T10 Torx driver, T20 Torx driver, (#?) Precision Phillips Head screwdriver, Calibration fixture (RGo / front plate), ground strap, knee pad"/>
        <s v="Calibration fixture (RGo / front plate), knee pad"/>
        <s v="Raise shelf - 10mm socket, 1/4 ratchet and short extension. Remove top plate - T20 bit in 90degree drill motor attachment, drill motor."/>
        <s v="T20 Torx bit, Electric impact driver, multimeter"/>
        <s v="T10 Torx driver, Knipex cobra 6&quot;"/>
        <s v="Compressed air, microfiber towel"/>
        <s v="12v cordless Impact drill, right angle drill attachment, T20 Torx bit,"/>
        <s v="T20 Torx bit, 90 degree drill motor angle attachment, drill motor, 10mm socket, 1/4&quot; ratchet, short 1/4&quot; extension."/>
        <s v="T20 Torx driver, 1/4&quot; ratchet, 10mm socket, serial port cable."/>
        <s v="PH1 screwdriver bit, stubby driver handle, needle nose pliers, flash light, microfiber towel, lamp"/>
        <s v="Tools T10 bit, PH1 screwdriver bit, stubby driver, 10mm socket, 1/4 ratchet, short ext "/>
        <s v="PH1 screwdriver bit, stubby driver handle, needle nose pliers, microfiber towel"/>
        <s v="12v cordless impact drill, right angle drill attachment, T20 Torx bit, T8 Torx bit, stubby handle driver, Precision flathead screwdriver, knee pad"/>
      </sharedItems>
    </cacheField>
    <cacheField name="Column 1" numFmtId="0">
      <sharedItems containsString="0" containsBlank="1" containsNumber="1">
        <m/>
        <n v="44.166666666666664"/>
      </sharedItems>
    </cacheField>
    <cacheField name="Column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M Pivot" cacheId="0" dataCaption="" compact="0" compactData="0">
  <location ref="A2:D6" firstHeaderRow="0" firstDataRow="2" firstDataCol="0"/>
  <pivotFields>
    <pivotField name="B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ustomer" compact="0" outline="0" multipleItemSelectionAllowed="1" showAll="0">
      <items>
        <item x="0"/>
        <item t="default"/>
      </items>
    </pivotField>
    <pivotField name="Deployment Date" compact="0" outline="0" multipleItemSelectionAllowed="1" showAll="0">
      <items>
        <item x="0"/>
        <item x="1"/>
        <item x="2"/>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p Mod Configuration" compact="0" outline="0" multipleItemSelectionAllowed="1" showAll="0">
      <items>
        <item x="0"/>
        <item x="1"/>
        <item x="2"/>
        <item t="default"/>
      </items>
    </pivotField>
    <pivotField name="Event Type" axis="axisRow" dataField="1" compact="0" outline="0" multipleItemSelectionAllowed="1" showAll="0" sortType="ascending">
      <items>
        <item x="0"/>
        <item x="2"/>
        <item x="1"/>
        <item t="default"/>
      </items>
    </pivotField>
    <pivotField name="Main Group" compact="0" outline="0" multipleItemSelectionAllowed="1" showAll="0">
      <items>
        <item x="0"/>
        <item x="1"/>
        <item x="2"/>
        <item x="3"/>
        <item x="4"/>
        <item x="5"/>
        <item t="default"/>
      </items>
    </pivotField>
    <pivotField name="Subset" compact="0" outline="0" multipleItemSelectionAllowed="1" showAll="0">
      <items>
        <item x="0"/>
        <item x="1"/>
        <item x="2"/>
        <item x="3"/>
        <item x="4"/>
        <item x="5"/>
        <item x="6"/>
        <item x="7"/>
        <item x="8"/>
        <item x="9"/>
        <item x="10"/>
        <item x="11"/>
        <item x="12"/>
        <item t="default"/>
      </items>
    </pivotField>
    <pivotField name="Observation / Service Requ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Completed" compact="0" outline="0" multipleItemSelectionAllowed="1" showAll="0">
      <items>
        <item x="0"/>
        <item x="1"/>
        <item x="2"/>
        <item t="default"/>
      </items>
    </pivotField>
    <pivotField name="Date Completed" compact="0" outline="0" multipleItemSelectionAllowed="1" showAll="0">
      <items>
        <item x="0"/>
        <item x="1"/>
        <item x="2"/>
        <item x="3"/>
        <item x="4"/>
        <item x="5"/>
        <item x="6"/>
        <item x="7"/>
        <item x="8"/>
        <item x="9"/>
        <item x="10"/>
        <item x="11"/>
        <item x="12"/>
        <item x="13"/>
        <item x="14"/>
        <item x="15"/>
        <item x="16"/>
        <item x="17"/>
        <item x="18"/>
        <item t="default"/>
      </items>
    </pivotField>
    <pivotField name="Status" compact="0" outline="0" multipleItemSelectionAllowed="1" showAll="0">
      <items>
        <item x="0"/>
        <item x="1"/>
        <item x="2"/>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ime (m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oo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Column 1" compact="0" outline="0" multipleItemSelectionAllowed="1" showAll="0">
      <items>
        <item x="0"/>
        <item x="1"/>
        <item t="default"/>
      </items>
    </pivotField>
    <pivotField name="Column 2" compact="0" outline="0" multipleItemSelectionAllowed="1" showAll="0">
      <items>
        <item x="0"/>
        <item t="default"/>
      </items>
    </pivotField>
  </pivotFields>
  <rowFields>
    <field x="5"/>
  </rowFields>
  <colFields>
    <field x="-2"/>
  </colFields>
  <dataFields>
    <dataField name="COUNTA of Event Type" fld="5" subtotal="count" baseField="0"/>
    <dataField name="SUM of Time (min)" fld="13" baseField="0"/>
    <dataField name="SUM of Time (min)" fld="13" showDataAs="percentOfCol" baseField="0" numFmtId="10"/>
  </dataFields>
</pivotTableDefinition>
</file>

<file path=xl/pivotTables/pivotTable2.xml><?xml version="1.0" encoding="utf-8"?>
<pivotTableDefinition xmlns="http://schemas.openxmlformats.org/spreadsheetml/2006/main" name="DM Pivot 2" cacheId="0" dataCaption="" compact="0" compactData="0">
  <location ref="A39:B52" firstHeaderRow="0" firstDataRow="1" firstDataCol="0" rowPageCount="1" colPageCount="1"/>
  <pivotFields>
    <pivotField name="B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ustomer" compact="0" outline="0" multipleItemSelectionAllowed="1" showAll="0">
      <items>
        <item x="0"/>
        <item t="default"/>
      </items>
    </pivotField>
    <pivotField name="Deployment Date" compact="0" outline="0" multipleItemSelectionAllowed="1" showAll="0">
      <items>
        <item x="0"/>
        <item x="1"/>
        <item x="2"/>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p Mod Configuration" compact="0" outline="0" multipleItemSelectionAllowed="1" showAll="0">
      <items>
        <item x="0"/>
        <item x="1"/>
        <item x="2"/>
        <item t="default"/>
      </items>
    </pivotField>
    <pivotField name="Event Type" axis="axisPage" compact="0" outline="0" multipleItemSelectionAllowed="1" showAll="0">
      <items>
        <item x="0"/>
        <item x="1"/>
        <item h="1" x="2"/>
        <item t="default"/>
      </items>
    </pivotField>
    <pivotField name="Main Group" compact="0" outline="0" multipleItemSelectionAllowed="1" showAll="0">
      <items>
        <item x="0"/>
        <item x="1"/>
        <item x="2"/>
        <item x="3"/>
        <item x="4"/>
        <item x="5"/>
        <item t="default"/>
      </items>
    </pivotField>
    <pivotField name="Subset" axis="axisRow" dataField="1" compact="0" outline="0" multipleItemSelectionAllowed="1" showAll="0" sortType="ascending">
      <items>
        <item x="5"/>
        <item x="12"/>
        <item x="4"/>
        <item x="9"/>
        <item x="2"/>
        <item x="1"/>
        <item x="0"/>
        <item x="6"/>
        <item x="3"/>
        <item x="7"/>
        <item x="8"/>
        <item x="10"/>
        <item x="11"/>
        <item t="default"/>
      </items>
    </pivotField>
    <pivotField name="Observation / Service Requ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Completed" compact="0" outline="0" multipleItemSelectionAllowed="1" showAll="0">
      <items>
        <item x="0"/>
        <item x="1"/>
        <item x="2"/>
        <item t="default"/>
      </items>
    </pivotField>
    <pivotField name="Date Completed" compact="0" outline="0" multipleItemSelectionAllowed="1" showAll="0">
      <items>
        <item x="0"/>
        <item x="1"/>
        <item x="2"/>
        <item x="3"/>
        <item x="4"/>
        <item x="5"/>
        <item x="6"/>
        <item x="7"/>
        <item x="8"/>
        <item x="9"/>
        <item x="10"/>
        <item x="11"/>
        <item x="12"/>
        <item x="13"/>
        <item x="14"/>
        <item x="15"/>
        <item x="16"/>
        <item x="17"/>
        <item x="18"/>
        <item t="default"/>
      </items>
    </pivotField>
    <pivotField name="Status" compact="0" outline="0" multipleItemSelectionAllowed="1" showAll="0">
      <items>
        <item x="0"/>
        <item x="1"/>
        <item x="2"/>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ime (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oo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Column 1" compact="0" outline="0" multipleItemSelectionAllowed="1" showAll="0">
      <items>
        <item x="0"/>
        <item x="1"/>
        <item t="default"/>
      </items>
    </pivotField>
    <pivotField name="Column 2" compact="0" outline="0" multipleItemSelectionAllowed="1" showAll="0">
      <items>
        <item x="0"/>
        <item t="default"/>
      </items>
    </pivotField>
  </pivotFields>
  <rowFields>
    <field x="7"/>
  </rowFields>
  <pageFields>
    <pageField fld="5"/>
  </pageFields>
  <dataFields>
    <dataField name="COUNTA of Events" fld="7" subtotal="count" baseField="0"/>
  </dataFields>
</pivotTableDefinition>
</file>

<file path=xl/pivotTables/pivotTable3.xml><?xml version="1.0" encoding="utf-8"?>
<pivotTableDefinition xmlns="http://schemas.openxmlformats.org/spreadsheetml/2006/main" name="DM Pivot 3" cacheId="0" dataCaption="" compact="0" compactData="0">
  <location ref="A74:B87" firstHeaderRow="0" firstDataRow="1" firstDataCol="0" rowPageCount="1" colPageCount="1"/>
  <pivotFields>
    <pivotField name="B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ustomer" compact="0" outline="0" multipleItemSelectionAllowed="1" showAll="0">
      <items>
        <item x="0"/>
        <item t="default"/>
      </items>
    </pivotField>
    <pivotField name="Deployment Date" compact="0" outline="0" multipleItemSelectionAllowed="1" showAll="0">
      <items>
        <item x="0"/>
        <item x="1"/>
        <item x="2"/>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p Mod Configuration" compact="0" outline="0" multipleItemSelectionAllowed="1" showAll="0">
      <items>
        <item x="0"/>
        <item x="1"/>
        <item x="2"/>
        <item t="default"/>
      </items>
    </pivotField>
    <pivotField name="Event Type" axis="axisPage" compact="0" outline="0" multipleItemSelectionAllowed="1" showAll="0">
      <items>
        <item x="0"/>
        <item x="1"/>
        <item h="1" x="2"/>
        <item t="default"/>
      </items>
    </pivotField>
    <pivotField name="Main Group" compact="0" outline="0" multipleItemSelectionAllowed="1" showAll="0">
      <items>
        <item x="0"/>
        <item x="1"/>
        <item x="2"/>
        <item x="3"/>
        <item x="4"/>
        <item x="5"/>
        <item t="default"/>
      </items>
    </pivotField>
    <pivotField name="Subset" axis="axisRow" compact="0" outline="0" multipleItemSelectionAllowed="1" showAll="0" sortType="ascending">
      <items>
        <item x="5"/>
        <item x="12"/>
        <item x="4"/>
        <item x="9"/>
        <item x="2"/>
        <item x="1"/>
        <item x="0"/>
        <item x="6"/>
        <item x="3"/>
        <item x="7"/>
        <item x="8"/>
        <item x="10"/>
        <item x="11"/>
        <item t="default"/>
      </items>
    </pivotField>
    <pivotField name="Observation / Service Requ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Completed" compact="0" outline="0" multipleItemSelectionAllowed="1" showAll="0">
      <items>
        <item x="0"/>
        <item x="1"/>
        <item x="2"/>
        <item t="default"/>
      </items>
    </pivotField>
    <pivotField name="Date Completed" compact="0" outline="0" multipleItemSelectionAllowed="1" showAll="0">
      <items>
        <item x="0"/>
        <item x="1"/>
        <item x="2"/>
        <item x="3"/>
        <item x="4"/>
        <item x="5"/>
        <item x="6"/>
        <item x="7"/>
        <item x="8"/>
        <item x="9"/>
        <item x="10"/>
        <item x="11"/>
        <item x="12"/>
        <item x="13"/>
        <item x="14"/>
        <item x="15"/>
        <item x="16"/>
        <item x="17"/>
        <item x="18"/>
        <item t="default"/>
      </items>
    </pivotField>
    <pivotField name="Status" compact="0" outline="0" multipleItemSelectionAllowed="1" showAll="0">
      <items>
        <item x="0"/>
        <item x="1"/>
        <item x="2"/>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ime (m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oo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Column 1" compact="0" outline="0" multipleItemSelectionAllowed="1" showAll="0">
      <items>
        <item x="0"/>
        <item x="1"/>
        <item t="default"/>
      </items>
    </pivotField>
    <pivotField name="Column 2" compact="0" outline="0" multipleItemSelectionAllowed="1" showAll="0">
      <items>
        <item x="0"/>
        <item t="default"/>
      </items>
    </pivotField>
  </pivotFields>
  <rowFields>
    <field x="7"/>
  </rowFields>
  <pageFields>
    <pageField fld="5"/>
  </pageFields>
  <dataFields>
    <dataField name="SUM of Time (min)" fld="13" baseField="0"/>
  </dataFields>
</pivotTableDefinition>
</file>

<file path=xl/pivotTables/pivotTable4.xml><?xml version="1.0" encoding="utf-8"?>
<pivotTableDefinition xmlns="http://schemas.openxmlformats.org/spreadsheetml/2006/main" name="DM Pivot 4" cacheId="0" dataCaption="" compact="0" compactData="0">
  <location ref="A91:B104" firstHeaderRow="0" firstDataRow="1" firstDataCol="0" rowPageCount="1" colPageCount="1"/>
  <pivotFields>
    <pivotField name="Bo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ustomer" compact="0" outline="0" multipleItemSelectionAllowed="1" showAll="0">
      <items>
        <item x="0"/>
        <item t="default"/>
      </items>
    </pivotField>
    <pivotField name="Deployment Date" compact="0" outline="0" multipleItemSelectionAllowed="1" showAll="0">
      <items>
        <item x="0"/>
        <item x="1"/>
        <item x="2"/>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p Mod Configuration" compact="0" outline="0" multipleItemSelectionAllowed="1" showAll="0">
      <items>
        <item x="0"/>
        <item x="1"/>
        <item x="2"/>
        <item t="default"/>
      </items>
    </pivotField>
    <pivotField name="Event Type" axis="axisPage" compact="0" outline="0" multipleItemSelectionAllowed="1" showAll="0">
      <items>
        <item x="0"/>
        <item x="1"/>
        <item h="1" x="2"/>
        <item t="default"/>
      </items>
    </pivotField>
    <pivotField name="Main Group" compact="0" outline="0" multipleItemSelectionAllowed="1" showAll="0">
      <items>
        <item x="0"/>
        <item x="1"/>
        <item x="2"/>
        <item x="3"/>
        <item x="4"/>
        <item x="5"/>
        <item t="default"/>
      </items>
    </pivotField>
    <pivotField name="Subset" axis="axisRow" compact="0" outline="0" multipleItemSelectionAllowed="1" showAll="0" sortType="ascending">
      <items>
        <item x="5"/>
        <item x="12"/>
        <item x="4"/>
        <item x="9"/>
        <item x="2"/>
        <item x="1"/>
        <item x="0"/>
        <item x="6"/>
        <item x="3"/>
        <item x="7"/>
        <item x="8"/>
        <item x="10"/>
        <item x="11"/>
        <item t="default"/>
      </items>
    </pivotField>
    <pivotField name="Observation / Service Requ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Completed" compact="0" outline="0" multipleItemSelectionAllowed="1" showAll="0">
      <items>
        <item x="0"/>
        <item x="1"/>
        <item x="2"/>
        <item t="default"/>
      </items>
    </pivotField>
    <pivotField name="Date Completed" compact="0" outline="0" multipleItemSelectionAllowed="1" showAll="0">
      <items>
        <item x="0"/>
        <item x="1"/>
        <item x="2"/>
        <item x="3"/>
        <item x="4"/>
        <item x="5"/>
        <item x="6"/>
        <item x="7"/>
        <item x="8"/>
        <item x="9"/>
        <item x="10"/>
        <item x="11"/>
        <item x="12"/>
        <item x="13"/>
        <item x="14"/>
        <item x="15"/>
        <item x="16"/>
        <item x="17"/>
        <item x="18"/>
        <item t="default"/>
      </items>
    </pivotField>
    <pivotField name="Status" compact="0" outline="0" multipleItemSelectionAllowed="1" showAll="0">
      <items>
        <item x="0"/>
        <item x="1"/>
        <item x="2"/>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ime (m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oo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Column 1" compact="0" outline="0" multipleItemSelectionAllowed="1" showAll="0">
      <items>
        <item x="0"/>
        <item x="1"/>
        <item t="default"/>
      </items>
    </pivotField>
    <pivotField name="Column 2" compact="0" outline="0" multipleItemSelectionAllowed="1" showAll="0">
      <items>
        <item x="0"/>
        <item t="default"/>
      </items>
    </pivotField>
  </pivotFields>
  <rowFields>
    <field x="7"/>
  </rowFields>
  <pageFields>
    <pageField fld="5"/>
  </pageFields>
  <dataFields>
    <dataField name="AVERAGE of Time (min)" fld="13" subtotal="average" baseField="0"/>
  </dataFields>
</pivotTableDefinition>
</file>

<file path=xl/tables/table1.xml><?xml version="1.0" encoding="utf-8"?>
<table xmlns="http://schemas.openxmlformats.org/spreadsheetml/2006/main" ref="A3:J66" displayName="DM_Service_Log" name="DM_Service_Log" id="1">
  <tableColumns count="10">
    <tableColumn name="TIMESTAMP" id="1"/>
    <tableColumn name="Ticket #" id="2"/>
    <tableColumn name="Date  Created" id="3"/>
    <tableColumn name="Location" id="4"/>
    <tableColumn name="Bot" id="5"/>
    <tableColumn name="Column 5" id="6"/>
    <tableColumn name="Observation" id="7"/>
    <tableColumn name="Severity" id="8"/>
    <tableColumn name=" Possible Solution" id="9"/>
    <tableColumn name="Comment" id="10"/>
  </tableColumns>
  <tableStyleInfo name="Service UpdatesRepairs Log-style" showColumnStripes="0" showFirstColumn="1" showLastColumn="1" showRowStripes="1"/>
</table>
</file>

<file path=xl/tables/table2.xml><?xml version="1.0" encoding="utf-8"?>
<table xmlns="http://schemas.openxmlformats.org/spreadsheetml/2006/main" ref="A1:U13" displayName="Table1" name="Table1" id="2">
  <tableColumns count="21">
    <tableColumn name="Timestamp" id="1"/>
    <tableColumn name="Ticket #" id="2"/>
    <tableColumn name="Bots" id="3"/>
    <tableColumn name="Customer" id="4"/>
    <tableColumn name="Date Entered" id="5"/>
    <tableColumn name="Address" id="6"/>
    <tableColumn name="Top Mod Configuration" id="7"/>
    <tableColumn name="Event Type" id="8"/>
    <tableColumn name="Main Group" id="9"/>
    <tableColumn name="Subset" id="10"/>
    <tableColumn name="Observation / Service Request" id="11"/>
    <tableColumn name="Status" id="12"/>
    <tableColumn name="Date Completed" id="13"/>
    <tableColumn name="Classification" id="14"/>
    <tableColumn name="Activity Comments" id="15"/>
    <tableColumn name="New Configuration" id="16"/>
    <tableColumn name="Time (min)" id="17"/>
    <tableColumn name="Technicians" id="18"/>
    <tableColumn name="Tools" id="19"/>
    <tableColumn name="Parts Replacement" id="20"/>
    <tableColumn name="Column 2" id="21"/>
  </tableColumns>
  <tableStyleInfo name="J&amp;J Fleet-style" showColumnStripes="0" showFirstColumn="1" showLastColumn="1" showRowStripes="1"/>
</table>
</file>

<file path=xl/tables/table3.xml><?xml version="1.0" encoding="utf-8"?>
<table xmlns="http://schemas.openxmlformats.org/spreadsheetml/2006/main" ref="A1:Q449" displayName="Table2" name="Table2" id="3">
  <autoFilter ref="$A$1:$Q$449">
    <filterColumn colId="7">
      <filters blank="1">
        <filter val="Safety System"/>
        <filter val="Motor"/>
        <filter val="HMI"/>
        <filter val="E-Stops"/>
        <filter val="Body / Trim"/>
        <filter val="Handle"/>
        <filter val="SLA System"/>
        <filter val="Battery"/>
        <filter val="Blue Safety Light"/>
        <filter val="Firmware"/>
        <filter val="RGo"/>
      </filters>
    </filterColumn>
    <filterColumn colId="5">
      <filters>
        <filter val="Deployment"/>
      </filters>
    </filterColumn>
  </autoFilter>
  <tableColumns count="17">
    <tableColumn name="Bots" id="1"/>
    <tableColumn name="Customer" id="2"/>
    <tableColumn name="Deployment Date" id="3"/>
    <tableColumn name="Address" id="4"/>
    <tableColumn name="Top Mod Configuration" id="5"/>
    <tableColumn name="Event Type" id="6"/>
    <tableColumn name="Main Group" id="7"/>
    <tableColumn name="Subset" id="8"/>
    <tableColumn name="Observation / Service Request" id="9"/>
    <tableColumn name="Completed" id="10"/>
    <tableColumn name="Date Completed" id="11"/>
    <tableColumn name="Status" id="12"/>
    <tableColumn name="Comments" id="13"/>
    <tableColumn name="Time (min)" id="14"/>
    <tableColumn name="Tools" id="15"/>
    <tableColumn name="Column 1" id="16"/>
    <tableColumn name="Column 2" id="17"/>
  </tableColumns>
  <tableStyleInfo name="DM Fleet-style" showColumnStripes="0" showFirstColumn="1" showLastColumn="1" showRowStripes="1"/>
</table>
</file>

<file path=xl/tables/table4.xml><?xml version="1.0" encoding="utf-8"?>
<table xmlns="http://schemas.openxmlformats.org/spreadsheetml/2006/main" ref="A3:G14" displayName="CAH_Service_Log" name="CAH_Service_Log" id="4">
  <tableColumns count="7">
    <tableColumn name="Date" id="1"/>
    <tableColumn name="Bot" id="2"/>
    <tableColumn name="Location" id="3"/>
    <tableColumn name="Observed Condition / Complaint" id="4"/>
    <tableColumn name="Severity" id="5"/>
    <tableColumn name="Fix" id="6"/>
    <tableColumn name="Comment" id="7"/>
  </tableColumns>
  <tableStyleInfo name="CAH Service UpdatesRepairs Log-style" showColumnStripes="0" showFirstColumn="1" showLastColumn="1" showRowStripes="1"/>
</table>
</file>

<file path=xl/tables/table5.xml><?xml version="1.0" encoding="utf-8"?>
<table xmlns="http://schemas.openxmlformats.org/spreadsheetml/2006/main" ref="A1:N21" displayName="Table3" name="Table3" id="5">
  <autoFilter ref="$A$1:$N$21"/>
  <tableColumns count="14">
    <tableColumn name="Bots" id="1"/>
    <tableColumn name="Customer" id="2"/>
    <tableColumn name="Deployment Date" id="3"/>
    <tableColumn name="Address" id="4"/>
    <tableColumn name="Top Mod" id="5"/>
    <tableColumn name="Subset" id="6"/>
    <tableColumn name="Condition Observed" id="7"/>
    <tableColumn name="Service Request " id="8"/>
    <tableColumn name="Completed" id="9"/>
    <tableColumn name="Date" id="10"/>
    <tableColumn name="Status" id="11"/>
    <tableColumn name="Comments" id="12"/>
    <tableColumn name="Time (min)" id="13"/>
    <tableColumn name="Tools" id="14"/>
  </tableColumns>
  <tableStyleInfo name="CAH Fleet-style" showColumnStripes="0" showFirstColumn="1" showLastColumn="1" showRowStripes="1"/>
</table>
</file>

<file path=xl/tables/table6.xml><?xml version="1.0" encoding="utf-8"?>
<table xmlns="http://schemas.openxmlformats.org/spreadsheetml/2006/main" ref="A1:V13" displayName="Table1_2" name="Table1_2" id="6">
  <tableColumns count="22">
    <tableColumn name="Timestamp" id="1"/>
    <tableColumn name="Ticket #" id="2"/>
    <tableColumn name="Bots" id="3"/>
    <tableColumn name="Customer" id="4"/>
    <tableColumn name="Date Entered" id="5"/>
    <tableColumn name="Address" id="6"/>
    <tableColumn name="Top Mod Configuration" id="7"/>
    <tableColumn name="Impact" id="8"/>
    <tableColumn name="Event Type" id="9"/>
    <tableColumn name="Main Group" id="10"/>
    <tableColumn name="Subset" id="11"/>
    <tableColumn name="Observation / Service Request" id="12"/>
    <tableColumn name="Status" id="13"/>
    <tableColumn name="Date Completed" id="14"/>
    <tableColumn name="Classification" id="15"/>
    <tableColumn name="Activity Comments" id="16"/>
    <tableColumn name="New Configuration" id="17"/>
    <tableColumn name="Time (min)" id="18"/>
    <tableColumn name="Technicians" id="19"/>
    <tableColumn name="Tools" id="20"/>
    <tableColumn name="Parts Replacement" id="21"/>
    <tableColumn name="Column 2" id="22"/>
  </tableColumns>
  <tableStyleInfo name="Demo 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0"/>
    <col customWidth="1" min="2" max="3" width="28.75"/>
    <col customWidth="1" min="4" max="4" width="16.38"/>
    <col customWidth="1" min="5" max="5" width="8.5"/>
    <col customWidth="1" min="6" max="6" width="12.75"/>
    <col customWidth="1" min="7" max="7" width="33.0"/>
    <col customWidth="1" min="8" max="8" width="17.13"/>
    <col customWidth="1" min="9" max="9" width="20.25"/>
    <col customWidth="1" min="10" max="10" width="35.75"/>
    <col customWidth="1" min="11" max="11" width="17.0"/>
  </cols>
  <sheetData>
    <row r="1">
      <c r="A1" s="1"/>
      <c r="B1" s="1"/>
      <c r="C1" s="1" t="s">
        <v>0</v>
      </c>
    </row>
    <row r="3">
      <c r="A3" s="2" t="s">
        <v>1</v>
      </c>
      <c r="B3" s="3" t="s">
        <v>2</v>
      </c>
      <c r="C3" s="4" t="s">
        <v>3</v>
      </c>
      <c r="D3" s="4" t="s">
        <v>4</v>
      </c>
      <c r="E3" s="4" t="s">
        <v>5</v>
      </c>
      <c r="F3" s="4" t="s">
        <v>6</v>
      </c>
      <c r="G3" s="4" t="s">
        <v>7</v>
      </c>
      <c r="H3" s="5" t="s">
        <v>8</v>
      </c>
      <c r="I3" s="4" t="s">
        <v>9</v>
      </c>
      <c r="J3" s="4" t="s">
        <v>10</v>
      </c>
    </row>
    <row r="4">
      <c r="A4" s="6"/>
      <c r="B4" s="7" t="str">
        <f t="shared" ref="B4:B66" si="1">row(A1)&amp;D4</f>
        <v>1DM</v>
      </c>
      <c r="C4" s="6">
        <v>45721.0</v>
      </c>
      <c r="D4" s="8" t="s">
        <v>11</v>
      </c>
      <c r="E4" s="9">
        <v>428.0</v>
      </c>
      <c r="F4" s="9"/>
      <c r="G4" s="10" t="s">
        <v>12</v>
      </c>
      <c r="H4" s="11" t="s">
        <v>13</v>
      </c>
      <c r="I4" s="10" t="s">
        <v>14</v>
      </c>
      <c r="J4" s="12" t="s">
        <v>15</v>
      </c>
    </row>
    <row r="5">
      <c r="A5" s="13"/>
      <c r="B5" s="7" t="str">
        <f t="shared" si="1"/>
        <v>2DM</v>
      </c>
      <c r="C5" s="13">
        <v>45721.0</v>
      </c>
      <c r="D5" s="14" t="s">
        <v>11</v>
      </c>
      <c r="E5" s="15" t="s">
        <v>16</v>
      </c>
      <c r="F5" s="15"/>
      <c r="G5" s="16" t="s">
        <v>17</v>
      </c>
      <c r="H5" s="17" t="s">
        <v>13</v>
      </c>
      <c r="I5" s="16" t="s">
        <v>18</v>
      </c>
      <c r="J5" s="18" t="s">
        <v>19</v>
      </c>
    </row>
    <row r="6">
      <c r="A6" s="19"/>
      <c r="B6" s="7" t="str">
        <f t="shared" si="1"/>
        <v>3DM</v>
      </c>
      <c r="C6" s="19">
        <v>45721.0</v>
      </c>
      <c r="D6" s="20" t="s">
        <v>11</v>
      </c>
      <c r="E6" s="21" t="s">
        <v>20</v>
      </c>
      <c r="F6" s="21"/>
      <c r="G6" s="22" t="s">
        <v>17</v>
      </c>
      <c r="H6" s="11" t="s">
        <v>13</v>
      </c>
      <c r="I6" s="23" t="s">
        <v>18</v>
      </c>
      <c r="J6" s="18" t="s">
        <v>21</v>
      </c>
    </row>
    <row r="7">
      <c r="A7" s="24"/>
      <c r="B7" s="7" t="str">
        <f t="shared" si="1"/>
        <v>4DM</v>
      </c>
      <c r="C7" s="24">
        <v>45723.0</v>
      </c>
      <c r="D7" s="14" t="s">
        <v>11</v>
      </c>
      <c r="E7" s="15">
        <v>417.0</v>
      </c>
      <c r="F7" s="15"/>
      <c r="G7" s="16" t="s">
        <v>22</v>
      </c>
      <c r="H7" s="17" t="s">
        <v>13</v>
      </c>
      <c r="I7" s="16" t="s">
        <v>23</v>
      </c>
    </row>
    <row r="8">
      <c r="A8" s="25"/>
      <c r="B8" s="7" t="str">
        <f t="shared" si="1"/>
        <v>5DM</v>
      </c>
      <c r="C8" s="25">
        <v>45737.0</v>
      </c>
      <c r="D8" s="20" t="s">
        <v>11</v>
      </c>
      <c r="E8" s="21">
        <v>434.0</v>
      </c>
      <c r="F8" s="21"/>
      <c r="G8" s="23" t="s">
        <v>24</v>
      </c>
      <c r="H8" s="11" t="s">
        <v>13</v>
      </c>
      <c r="I8" s="26"/>
      <c r="J8" s="27"/>
    </row>
    <row r="9">
      <c r="A9" s="28"/>
      <c r="B9" s="7" t="str">
        <f t="shared" si="1"/>
        <v>6DM</v>
      </c>
      <c r="C9" s="28">
        <v>45737.0</v>
      </c>
      <c r="D9" s="29" t="s">
        <v>11</v>
      </c>
      <c r="E9" s="30" t="s">
        <v>16</v>
      </c>
      <c r="F9" s="30"/>
      <c r="G9" s="31" t="s">
        <v>25</v>
      </c>
      <c r="H9" s="32" t="s">
        <v>13</v>
      </c>
      <c r="I9" s="33"/>
      <c r="J9" s="34"/>
    </row>
    <row r="10">
      <c r="A10" s="25"/>
      <c r="B10" s="7" t="str">
        <f t="shared" si="1"/>
        <v>7DM</v>
      </c>
      <c r="C10" s="25">
        <v>45737.0</v>
      </c>
      <c r="D10" s="20" t="s">
        <v>11</v>
      </c>
      <c r="E10" s="21">
        <v>421.0</v>
      </c>
      <c r="F10" s="21"/>
      <c r="G10" s="23" t="s">
        <v>26</v>
      </c>
      <c r="H10" s="11" t="s">
        <v>27</v>
      </c>
      <c r="I10" s="26" t="s">
        <v>14</v>
      </c>
      <c r="J10" s="27"/>
    </row>
    <row r="11">
      <c r="A11" s="28"/>
      <c r="B11" s="7" t="str">
        <f t="shared" si="1"/>
        <v>8DM </v>
      </c>
      <c r="C11" s="28">
        <v>45748.0</v>
      </c>
      <c r="D11" s="35" t="s">
        <v>28</v>
      </c>
      <c r="E11" s="36">
        <v>421.0</v>
      </c>
      <c r="F11" s="36"/>
      <c r="G11" s="37" t="s">
        <v>29</v>
      </c>
      <c r="H11" s="32" t="s">
        <v>27</v>
      </c>
      <c r="I11" s="31" t="s">
        <v>30</v>
      </c>
      <c r="J11" s="34"/>
    </row>
    <row r="12">
      <c r="A12" s="25"/>
      <c r="B12" s="7" t="str">
        <f t="shared" si="1"/>
        <v>9DM</v>
      </c>
      <c r="C12" s="25">
        <v>45748.0</v>
      </c>
      <c r="D12" s="20" t="s">
        <v>11</v>
      </c>
      <c r="E12" s="21">
        <v>430.0</v>
      </c>
      <c r="F12" s="21"/>
      <c r="G12" s="23" t="s">
        <v>31</v>
      </c>
      <c r="H12" s="11" t="s">
        <v>27</v>
      </c>
      <c r="I12" s="23" t="s">
        <v>32</v>
      </c>
      <c r="J12" s="38" t="s">
        <v>33</v>
      </c>
    </row>
    <row r="13">
      <c r="A13" s="28"/>
      <c r="B13" s="7" t="str">
        <f t="shared" si="1"/>
        <v>10DM</v>
      </c>
      <c r="C13" s="28">
        <v>45748.0</v>
      </c>
      <c r="D13" s="35" t="s">
        <v>11</v>
      </c>
      <c r="E13" s="36">
        <v>435.0</v>
      </c>
      <c r="F13" s="36"/>
      <c r="G13" s="37" t="s">
        <v>34</v>
      </c>
      <c r="H13" s="32" t="s">
        <v>27</v>
      </c>
      <c r="I13" s="31" t="s">
        <v>35</v>
      </c>
      <c r="J13" s="39" t="s">
        <v>36</v>
      </c>
    </row>
    <row r="14">
      <c r="A14" s="25"/>
      <c r="B14" s="7" t="str">
        <f t="shared" si="1"/>
        <v>11DM</v>
      </c>
      <c r="C14" s="25">
        <v>45749.0</v>
      </c>
      <c r="D14" s="20" t="s">
        <v>11</v>
      </c>
      <c r="E14" s="21">
        <v>448.0</v>
      </c>
      <c r="F14" s="21"/>
      <c r="G14" s="23" t="s">
        <v>29</v>
      </c>
      <c r="H14" s="11" t="s">
        <v>27</v>
      </c>
      <c r="I14" s="31" t="s">
        <v>30</v>
      </c>
      <c r="J14" s="27"/>
    </row>
    <row r="15">
      <c r="A15" s="28"/>
      <c r="B15" s="7" t="str">
        <f t="shared" si="1"/>
        <v>12DM</v>
      </c>
      <c r="C15" s="28">
        <v>45750.0</v>
      </c>
      <c r="D15" s="29" t="s">
        <v>11</v>
      </c>
      <c r="E15" s="30">
        <v>422.0</v>
      </c>
      <c r="F15" s="30"/>
      <c r="G15" s="31" t="s">
        <v>26</v>
      </c>
      <c r="H15" s="32" t="s">
        <v>27</v>
      </c>
      <c r="I15" s="31" t="s">
        <v>14</v>
      </c>
      <c r="J15" s="34"/>
    </row>
    <row r="16">
      <c r="A16" s="25"/>
      <c r="B16" s="7" t="str">
        <f t="shared" si="1"/>
        <v>13DM</v>
      </c>
      <c r="C16" s="25">
        <v>45750.0</v>
      </c>
      <c r="D16" s="20" t="s">
        <v>11</v>
      </c>
      <c r="E16" s="21">
        <v>436.0</v>
      </c>
      <c r="F16" s="21"/>
      <c r="G16" s="23" t="s">
        <v>26</v>
      </c>
      <c r="H16" s="11" t="s">
        <v>27</v>
      </c>
      <c r="I16" s="23" t="s">
        <v>14</v>
      </c>
      <c r="J16" s="27"/>
    </row>
    <row r="17">
      <c r="A17" s="28"/>
      <c r="B17" s="7" t="str">
        <f t="shared" si="1"/>
        <v>14DM</v>
      </c>
      <c r="C17" s="28">
        <v>45750.0</v>
      </c>
      <c r="D17" s="29" t="s">
        <v>11</v>
      </c>
      <c r="E17" s="36">
        <v>419.0</v>
      </c>
      <c r="F17" s="30"/>
      <c r="G17" s="37" t="s">
        <v>37</v>
      </c>
      <c r="H17" s="32" t="s">
        <v>27</v>
      </c>
      <c r="I17" s="31" t="s">
        <v>38</v>
      </c>
      <c r="J17" s="34"/>
    </row>
    <row r="18">
      <c r="A18" s="25"/>
      <c r="B18" s="7" t="str">
        <f t="shared" si="1"/>
        <v>15DM </v>
      </c>
      <c r="C18" s="25">
        <v>45752.0</v>
      </c>
      <c r="D18" s="20" t="s">
        <v>28</v>
      </c>
      <c r="E18" s="21">
        <v>426.0</v>
      </c>
      <c r="F18" s="21"/>
      <c r="G18" s="23" t="s">
        <v>39</v>
      </c>
      <c r="H18" s="11" t="s">
        <v>27</v>
      </c>
      <c r="I18" s="23" t="s">
        <v>40</v>
      </c>
      <c r="J18" s="27"/>
    </row>
    <row r="19">
      <c r="A19" s="28"/>
      <c r="B19" s="7" t="str">
        <f t="shared" si="1"/>
        <v>16DM</v>
      </c>
      <c r="C19" s="28">
        <v>45754.0</v>
      </c>
      <c r="D19" s="29" t="s">
        <v>11</v>
      </c>
      <c r="E19" s="30" t="s">
        <v>41</v>
      </c>
      <c r="F19" s="30"/>
      <c r="G19" s="31" t="s">
        <v>42</v>
      </c>
      <c r="H19" s="32" t="s">
        <v>27</v>
      </c>
      <c r="I19" s="31" t="s">
        <v>43</v>
      </c>
      <c r="J19" s="34"/>
    </row>
    <row r="20">
      <c r="A20" s="28"/>
      <c r="B20" s="7" t="str">
        <f t="shared" si="1"/>
        <v>17DM</v>
      </c>
      <c r="C20" s="28">
        <v>45754.0</v>
      </c>
      <c r="D20" s="29" t="s">
        <v>11</v>
      </c>
      <c r="E20" s="30">
        <v>441.0</v>
      </c>
      <c r="F20" s="30"/>
      <c r="G20" s="31" t="s">
        <v>44</v>
      </c>
      <c r="H20" s="32" t="s">
        <v>27</v>
      </c>
      <c r="I20" s="31" t="s">
        <v>45</v>
      </c>
      <c r="J20" s="34"/>
    </row>
    <row r="21">
      <c r="A21" s="28"/>
      <c r="B21" s="7" t="str">
        <f t="shared" si="1"/>
        <v>18DM</v>
      </c>
      <c r="C21" s="28">
        <v>45754.0</v>
      </c>
      <c r="D21" s="29" t="s">
        <v>11</v>
      </c>
      <c r="E21" s="30">
        <v>442.0</v>
      </c>
      <c r="F21" s="30"/>
      <c r="G21" s="31" t="s">
        <v>44</v>
      </c>
      <c r="H21" s="32" t="s">
        <v>27</v>
      </c>
      <c r="I21" s="31" t="s">
        <v>45</v>
      </c>
      <c r="J21" s="34"/>
    </row>
    <row r="22">
      <c r="A22" s="28"/>
      <c r="B22" s="7" t="str">
        <f t="shared" si="1"/>
        <v>19DM</v>
      </c>
      <c r="C22" s="28">
        <v>45754.0</v>
      </c>
      <c r="D22" s="29" t="s">
        <v>11</v>
      </c>
      <c r="E22" s="30">
        <v>429.0</v>
      </c>
      <c r="F22" s="30"/>
      <c r="G22" s="31" t="s">
        <v>44</v>
      </c>
      <c r="H22" s="32" t="s">
        <v>27</v>
      </c>
      <c r="I22" s="31" t="s">
        <v>45</v>
      </c>
      <c r="J22" s="34"/>
    </row>
    <row r="23">
      <c r="A23" s="28"/>
      <c r="B23" s="7" t="str">
        <f t="shared" si="1"/>
        <v>20DM</v>
      </c>
      <c r="C23" s="28">
        <v>45756.0</v>
      </c>
      <c r="D23" s="29" t="s">
        <v>11</v>
      </c>
      <c r="E23" s="30">
        <v>428.0</v>
      </c>
      <c r="F23" s="30"/>
      <c r="G23" s="31" t="s">
        <v>46</v>
      </c>
      <c r="H23" s="32" t="s">
        <v>27</v>
      </c>
      <c r="I23" s="31" t="s">
        <v>47</v>
      </c>
      <c r="J23" s="34"/>
    </row>
    <row r="24">
      <c r="A24" s="28"/>
      <c r="B24" s="7" t="str">
        <f t="shared" si="1"/>
        <v>21DM</v>
      </c>
      <c r="C24" s="28">
        <v>45756.0</v>
      </c>
      <c r="D24" s="29" t="s">
        <v>11</v>
      </c>
      <c r="E24" s="31">
        <v>443.0</v>
      </c>
      <c r="F24" s="30"/>
      <c r="G24" s="31" t="s">
        <v>48</v>
      </c>
      <c r="H24" s="32" t="s">
        <v>27</v>
      </c>
      <c r="I24" s="31" t="s">
        <v>48</v>
      </c>
      <c r="J24" s="34"/>
    </row>
    <row r="25">
      <c r="A25" s="28"/>
      <c r="B25" s="7" t="str">
        <f t="shared" si="1"/>
        <v>22DM</v>
      </c>
      <c r="C25" s="28">
        <v>45756.0</v>
      </c>
      <c r="D25" s="29" t="s">
        <v>11</v>
      </c>
      <c r="E25" s="30">
        <v>432.0</v>
      </c>
      <c r="F25" s="30"/>
      <c r="G25" s="31" t="s">
        <v>48</v>
      </c>
      <c r="H25" s="32" t="s">
        <v>27</v>
      </c>
      <c r="I25" s="31" t="s">
        <v>48</v>
      </c>
      <c r="J25" s="34"/>
    </row>
    <row r="26">
      <c r="A26" s="28"/>
      <c r="B26" s="7" t="str">
        <f t="shared" si="1"/>
        <v>23DM</v>
      </c>
      <c r="C26" s="28">
        <v>45756.0</v>
      </c>
      <c r="D26" s="29" t="s">
        <v>11</v>
      </c>
      <c r="E26" s="30">
        <v>437.0</v>
      </c>
      <c r="F26" s="30"/>
      <c r="G26" s="31" t="s">
        <v>48</v>
      </c>
      <c r="H26" s="32" t="s">
        <v>27</v>
      </c>
      <c r="I26" s="31" t="s">
        <v>48</v>
      </c>
      <c r="J26" s="34"/>
    </row>
    <row r="27">
      <c r="A27" s="28"/>
      <c r="B27" s="7" t="str">
        <f t="shared" si="1"/>
        <v>24DM</v>
      </c>
      <c r="C27" s="28">
        <v>45758.0</v>
      </c>
      <c r="D27" s="29" t="s">
        <v>11</v>
      </c>
      <c r="E27" s="30">
        <v>422.0</v>
      </c>
      <c r="F27" s="30"/>
      <c r="G27" s="31" t="s">
        <v>49</v>
      </c>
      <c r="H27" s="32" t="s">
        <v>27</v>
      </c>
      <c r="I27" s="31"/>
      <c r="J27" s="34"/>
    </row>
    <row r="28">
      <c r="A28" s="28"/>
      <c r="B28" s="7" t="str">
        <f t="shared" si="1"/>
        <v>25DM</v>
      </c>
      <c r="C28" s="28">
        <v>45762.0</v>
      </c>
      <c r="D28" s="29" t="s">
        <v>11</v>
      </c>
      <c r="E28" s="30">
        <v>424.0</v>
      </c>
      <c r="F28" s="30"/>
      <c r="G28" s="31" t="s">
        <v>50</v>
      </c>
      <c r="H28" s="32" t="s">
        <v>27</v>
      </c>
      <c r="I28" s="31" t="s">
        <v>51</v>
      </c>
      <c r="J28" s="34"/>
    </row>
    <row r="29">
      <c r="A29" s="28"/>
      <c r="B29" s="7" t="str">
        <f t="shared" si="1"/>
        <v>26DM</v>
      </c>
      <c r="C29" s="28">
        <v>45765.0</v>
      </c>
      <c r="D29" s="29" t="s">
        <v>11</v>
      </c>
      <c r="E29" s="30">
        <v>431.0</v>
      </c>
      <c r="F29" s="30"/>
      <c r="G29" s="40" t="s">
        <v>52</v>
      </c>
      <c r="H29" s="32" t="s">
        <v>27</v>
      </c>
      <c r="I29" s="31" t="s">
        <v>53</v>
      </c>
      <c r="J29" s="34"/>
    </row>
    <row r="30">
      <c r="A30" s="28"/>
      <c r="B30" s="7" t="str">
        <f t="shared" si="1"/>
        <v>27DM</v>
      </c>
      <c r="C30" s="28">
        <v>45772.0</v>
      </c>
      <c r="D30" s="29" t="s">
        <v>11</v>
      </c>
      <c r="E30" s="30">
        <v>428.0</v>
      </c>
      <c r="F30" s="30"/>
      <c r="G30" s="31" t="s">
        <v>54</v>
      </c>
      <c r="H30" s="32" t="s">
        <v>27</v>
      </c>
      <c r="I30" s="31"/>
      <c r="J30" s="34"/>
    </row>
    <row r="31">
      <c r="A31" s="28"/>
      <c r="B31" s="7" t="str">
        <f t="shared" si="1"/>
        <v>28DM</v>
      </c>
      <c r="C31" s="28">
        <v>45773.0</v>
      </c>
      <c r="D31" s="29" t="s">
        <v>11</v>
      </c>
      <c r="E31" s="30">
        <v>415.0</v>
      </c>
      <c r="F31" s="30"/>
      <c r="G31" s="31" t="s">
        <v>55</v>
      </c>
      <c r="H31" s="32" t="s">
        <v>27</v>
      </c>
      <c r="I31" s="31"/>
      <c r="J31" s="34"/>
    </row>
    <row r="32">
      <c r="A32" s="28"/>
      <c r="B32" s="7" t="str">
        <f t="shared" si="1"/>
        <v>29DM</v>
      </c>
      <c r="C32" s="28">
        <v>45773.0</v>
      </c>
      <c r="D32" s="29" t="s">
        <v>11</v>
      </c>
      <c r="E32" s="30">
        <v>420.0</v>
      </c>
      <c r="F32" s="30"/>
      <c r="G32" s="31" t="s">
        <v>56</v>
      </c>
      <c r="H32" s="32" t="s">
        <v>27</v>
      </c>
      <c r="I32" s="31" t="s">
        <v>57</v>
      </c>
      <c r="J32" s="34"/>
    </row>
    <row r="33">
      <c r="A33" s="28"/>
      <c r="B33" s="7" t="str">
        <f t="shared" si="1"/>
        <v>30DM</v>
      </c>
      <c r="C33" s="28">
        <v>45773.0</v>
      </c>
      <c r="D33" s="29" t="s">
        <v>11</v>
      </c>
      <c r="E33" s="30">
        <v>436.0</v>
      </c>
      <c r="F33" s="30"/>
      <c r="G33" s="31" t="s">
        <v>56</v>
      </c>
      <c r="H33" s="32" t="s">
        <v>27</v>
      </c>
      <c r="I33" s="31" t="s">
        <v>57</v>
      </c>
      <c r="J33" s="34"/>
    </row>
    <row r="34">
      <c r="A34" s="28"/>
      <c r="B34" s="7" t="str">
        <f t="shared" si="1"/>
        <v>31DM</v>
      </c>
      <c r="C34" s="28">
        <v>45775.0</v>
      </c>
      <c r="D34" s="29" t="s">
        <v>11</v>
      </c>
      <c r="E34" s="30">
        <v>440.0</v>
      </c>
      <c r="F34" s="30"/>
      <c r="G34" s="31" t="s">
        <v>58</v>
      </c>
      <c r="H34" s="32" t="s">
        <v>27</v>
      </c>
      <c r="I34" s="31" t="s">
        <v>59</v>
      </c>
      <c r="J34" s="34"/>
    </row>
    <row r="35">
      <c r="A35" s="28"/>
      <c r="B35" s="7" t="str">
        <f t="shared" si="1"/>
        <v>32DM</v>
      </c>
      <c r="C35" s="28">
        <v>45783.0</v>
      </c>
      <c r="D35" s="29" t="s">
        <v>11</v>
      </c>
      <c r="E35" s="30" t="s">
        <v>60</v>
      </c>
      <c r="F35" s="30"/>
      <c r="G35" s="31" t="s">
        <v>61</v>
      </c>
      <c r="H35" s="32" t="s">
        <v>27</v>
      </c>
      <c r="I35" s="31" t="s">
        <v>62</v>
      </c>
      <c r="J35" s="34"/>
    </row>
    <row r="36">
      <c r="A36" s="28"/>
      <c r="B36" s="7" t="str">
        <f t="shared" si="1"/>
        <v>33DM</v>
      </c>
      <c r="C36" s="28">
        <v>45784.0</v>
      </c>
      <c r="D36" s="29" t="s">
        <v>11</v>
      </c>
      <c r="E36" s="30" t="s">
        <v>60</v>
      </c>
      <c r="F36" s="30"/>
      <c r="G36" s="31" t="s">
        <v>63</v>
      </c>
      <c r="H36" s="32" t="s">
        <v>27</v>
      </c>
      <c r="I36" s="31" t="s">
        <v>64</v>
      </c>
      <c r="J36" s="34"/>
    </row>
    <row r="37">
      <c r="A37" s="28"/>
      <c r="B37" s="7" t="str">
        <f t="shared" si="1"/>
        <v>34DM</v>
      </c>
      <c r="C37" s="28">
        <v>45784.0</v>
      </c>
      <c r="D37" s="29" t="s">
        <v>11</v>
      </c>
      <c r="E37" s="30" t="s">
        <v>60</v>
      </c>
      <c r="F37" s="30"/>
      <c r="G37" s="31" t="s">
        <v>65</v>
      </c>
      <c r="H37" s="32" t="s">
        <v>27</v>
      </c>
      <c r="I37" s="31"/>
      <c r="J37" s="34"/>
    </row>
    <row r="38">
      <c r="A38" s="28"/>
      <c r="B38" s="7" t="str">
        <f t="shared" si="1"/>
        <v>35DM</v>
      </c>
      <c r="C38" s="28">
        <v>45792.0</v>
      </c>
      <c r="D38" s="29" t="s">
        <v>11</v>
      </c>
      <c r="E38" s="30">
        <v>418.0</v>
      </c>
      <c r="F38" s="30"/>
      <c r="G38" s="31" t="s">
        <v>66</v>
      </c>
      <c r="H38" s="32" t="s">
        <v>67</v>
      </c>
      <c r="I38" s="31" t="s">
        <v>68</v>
      </c>
      <c r="J38" s="34"/>
    </row>
    <row r="39">
      <c r="A39" s="28"/>
      <c r="B39" s="7" t="str">
        <f t="shared" si="1"/>
        <v>36DM</v>
      </c>
      <c r="C39" s="28">
        <v>45793.0</v>
      </c>
      <c r="D39" s="29" t="s">
        <v>11</v>
      </c>
      <c r="E39" s="30">
        <v>443.0</v>
      </c>
      <c r="F39" s="30"/>
      <c r="G39" s="31" t="s">
        <v>69</v>
      </c>
      <c r="H39" s="32" t="s">
        <v>27</v>
      </c>
      <c r="I39" s="31" t="s">
        <v>70</v>
      </c>
      <c r="J39" s="34"/>
    </row>
    <row r="40">
      <c r="A40" s="28"/>
      <c r="B40" s="7" t="str">
        <f t="shared" si="1"/>
        <v>37DM</v>
      </c>
      <c r="C40" s="28">
        <v>45798.0</v>
      </c>
      <c r="D40" s="29" t="s">
        <v>11</v>
      </c>
      <c r="E40" s="30">
        <v>447.0</v>
      </c>
      <c r="F40" s="30"/>
      <c r="G40" s="31" t="s">
        <v>71</v>
      </c>
      <c r="H40" s="32" t="s">
        <v>67</v>
      </c>
      <c r="I40" s="31" t="s">
        <v>72</v>
      </c>
      <c r="J40" s="34"/>
    </row>
    <row r="41">
      <c r="A41" s="28"/>
      <c r="B41" s="7" t="str">
        <f t="shared" si="1"/>
        <v>38DM</v>
      </c>
      <c r="C41" s="28">
        <v>45800.0</v>
      </c>
      <c r="D41" s="29" t="s">
        <v>11</v>
      </c>
      <c r="E41" s="30">
        <v>448.0</v>
      </c>
      <c r="F41" s="30"/>
      <c r="G41" s="31" t="s">
        <v>73</v>
      </c>
      <c r="H41" s="32" t="s">
        <v>27</v>
      </c>
      <c r="I41" s="31" t="s">
        <v>74</v>
      </c>
      <c r="J41" s="34"/>
    </row>
    <row r="42">
      <c r="A42" s="28"/>
      <c r="B42" s="7" t="str">
        <f t="shared" si="1"/>
        <v>39DM</v>
      </c>
      <c r="C42" s="28">
        <v>45798.0</v>
      </c>
      <c r="D42" s="29" t="s">
        <v>11</v>
      </c>
      <c r="E42" s="30">
        <v>441.0</v>
      </c>
      <c r="F42" s="30"/>
      <c r="G42" s="31" t="s">
        <v>75</v>
      </c>
      <c r="H42" s="32" t="s">
        <v>27</v>
      </c>
      <c r="I42" s="31"/>
      <c r="J42" s="34"/>
    </row>
    <row r="43">
      <c r="A43" s="28"/>
      <c r="B43" s="7" t="str">
        <f t="shared" si="1"/>
        <v>40DM</v>
      </c>
      <c r="C43" s="28">
        <v>45800.0</v>
      </c>
      <c r="D43" s="29" t="s">
        <v>11</v>
      </c>
      <c r="E43" s="30">
        <v>445.0</v>
      </c>
      <c r="F43" s="30"/>
      <c r="G43" s="31" t="s">
        <v>76</v>
      </c>
      <c r="H43" s="32" t="s">
        <v>27</v>
      </c>
      <c r="I43" s="31"/>
      <c r="J43" s="34"/>
    </row>
    <row r="44">
      <c r="A44" s="41"/>
      <c r="B44" s="7" t="str">
        <f t="shared" si="1"/>
        <v>41DM</v>
      </c>
      <c r="C44" s="41">
        <v>45806.0</v>
      </c>
      <c r="D44" s="29" t="s">
        <v>11</v>
      </c>
      <c r="E44" s="30">
        <v>420.0</v>
      </c>
      <c r="F44" s="30"/>
      <c r="G44" s="31" t="s">
        <v>77</v>
      </c>
      <c r="H44" s="32" t="s">
        <v>27</v>
      </c>
      <c r="I44" s="31" t="s">
        <v>78</v>
      </c>
      <c r="J44" s="34"/>
    </row>
    <row r="45">
      <c r="A45" s="28"/>
      <c r="B45" s="7" t="str">
        <f t="shared" si="1"/>
        <v>42DM</v>
      </c>
      <c r="C45" s="28">
        <v>45817.0</v>
      </c>
      <c r="D45" s="29" t="s">
        <v>11</v>
      </c>
      <c r="E45" s="30">
        <v>427.0</v>
      </c>
      <c r="F45" s="30"/>
      <c r="G45" s="31" t="s">
        <v>79</v>
      </c>
      <c r="H45" s="32" t="s">
        <v>27</v>
      </c>
      <c r="I45" s="31" t="s">
        <v>80</v>
      </c>
      <c r="J45" s="34"/>
    </row>
    <row r="46">
      <c r="A46" s="28"/>
      <c r="B46" s="7" t="str">
        <f t="shared" si="1"/>
        <v>43DM</v>
      </c>
      <c r="C46" s="28">
        <v>45817.0</v>
      </c>
      <c r="D46" s="29" t="s">
        <v>11</v>
      </c>
      <c r="E46" s="30">
        <v>433.0</v>
      </c>
      <c r="F46" s="30"/>
      <c r="G46" s="31" t="s">
        <v>81</v>
      </c>
      <c r="H46" s="32" t="s">
        <v>27</v>
      </c>
      <c r="I46" s="31" t="s">
        <v>82</v>
      </c>
      <c r="J46" s="34"/>
    </row>
    <row r="47">
      <c r="A47" s="28"/>
      <c r="B47" s="7" t="str">
        <f t="shared" si="1"/>
        <v>44DM</v>
      </c>
      <c r="C47" s="28">
        <v>45818.0</v>
      </c>
      <c r="D47" s="29" t="s">
        <v>11</v>
      </c>
      <c r="E47" s="30">
        <v>447.0</v>
      </c>
      <c r="F47" s="30"/>
      <c r="G47" s="31" t="s">
        <v>83</v>
      </c>
      <c r="H47" s="32" t="s">
        <v>13</v>
      </c>
      <c r="I47" s="31" t="s">
        <v>84</v>
      </c>
      <c r="J47" s="34"/>
    </row>
    <row r="48">
      <c r="A48" s="28"/>
      <c r="B48" s="7" t="str">
        <f t="shared" si="1"/>
        <v>45DM</v>
      </c>
      <c r="C48" s="28">
        <v>45819.0</v>
      </c>
      <c r="D48" s="29" t="s">
        <v>11</v>
      </c>
      <c r="E48" s="30">
        <v>423.0</v>
      </c>
      <c r="F48" s="30"/>
      <c r="G48" s="37" t="s">
        <v>85</v>
      </c>
      <c r="H48" s="32" t="s">
        <v>13</v>
      </c>
      <c r="I48" s="31"/>
      <c r="J48" s="34"/>
    </row>
    <row r="49">
      <c r="A49" s="28"/>
      <c r="B49" s="7" t="str">
        <f t="shared" si="1"/>
        <v>46DM</v>
      </c>
      <c r="C49" s="28">
        <v>45820.0</v>
      </c>
      <c r="D49" s="29" t="s">
        <v>11</v>
      </c>
      <c r="E49" s="30">
        <v>436.0</v>
      </c>
      <c r="F49" s="30"/>
      <c r="G49" s="31" t="s">
        <v>86</v>
      </c>
      <c r="H49" s="32" t="s">
        <v>67</v>
      </c>
      <c r="I49" s="31"/>
      <c r="J49" s="34"/>
    </row>
    <row r="50">
      <c r="A50" s="28"/>
      <c r="B50" s="7" t="str">
        <f t="shared" si="1"/>
        <v>47DM</v>
      </c>
      <c r="C50" s="28">
        <v>45820.0</v>
      </c>
      <c r="D50" s="29" t="s">
        <v>11</v>
      </c>
      <c r="E50" s="30">
        <v>417.0</v>
      </c>
      <c r="F50" s="30"/>
      <c r="G50" s="31" t="s">
        <v>87</v>
      </c>
      <c r="H50" s="32" t="s">
        <v>67</v>
      </c>
      <c r="I50" s="31"/>
      <c r="J50" s="34"/>
    </row>
    <row r="51">
      <c r="A51" s="28"/>
      <c r="B51" s="7" t="str">
        <f t="shared" si="1"/>
        <v>48DM </v>
      </c>
      <c r="C51" s="28">
        <v>45824.0</v>
      </c>
      <c r="D51" s="29" t="s">
        <v>28</v>
      </c>
      <c r="E51" s="30">
        <v>446.0</v>
      </c>
      <c r="F51" s="30"/>
      <c r="G51" s="31" t="s">
        <v>88</v>
      </c>
      <c r="H51" s="32" t="s">
        <v>67</v>
      </c>
      <c r="I51" s="31"/>
      <c r="J51" s="34"/>
    </row>
    <row r="52">
      <c r="A52" s="28"/>
      <c r="B52" s="7" t="str">
        <f t="shared" si="1"/>
        <v>49DM </v>
      </c>
      <c r="C52" s="28">
        <v>45824.0</v>
      </c>
      <c r="D52" s="29" t="s">
        <v>28</v>
      </c>
      <c r="E52" s="30">
        <v>418.0</v>
      </c>
      <c r="F52" s="30"/>
      <c r="G52" s="31" t="s">
        <v>89</v>
      </c>
      <c r="H52" s="32" t="s">
        <v>67</v>
      </c>
      <c r="I52" s="31"/>
      <c r="J52" s="34"/>
    </row>
    <row r="53">
      <c r="A53" s="28"/>
      <c r="B53" s="7" t="str">
        <f t="shared" si="1"/>
        <v>50DM </v>
      </c>
      <c r="C53" s="28">
        <v>45824.0</v>
      </c>
      <c r="D53" s="29" t="s">
        <v>28</v>
      </c>
      <c r="E53" s="30">
        <v>432.0</v>
      </c>
      <c r="F53" s="30"/>
      <c r="G53" s="31" t="s">
        <v>90</v>
      </c>
      <c r="H53" s="32" t="s">
        <v>67</v>
      </c>
      <c r="I53" s="31"/>
      <c r="J53" s="34"/>
    </row>
    <row r="54">
      <c r="A54" s="28"/>
      <c r="B54" s="7" t="str">
        <f t="shared" si="1"/>
        <v>51DM</v>
      </c>
      <c r="C54" s="28">
        <v>45824.0</v>
      </c>
      <c r="D54" s="29" t="s">
        <v>11</v>
      </c>
      <c r="E54" s="30">
        <v>416.0</v>
      </c>
      <c r="F54" s="30"/>
      <c r="G54" s="31" t="s">
        <v>91</v>
      </c>
      <c r="H54" s="32" t="s">
        <v>67</v>
      </c>
      <c r="I54" s="31"/>
      <c r="J54" s="34"/>
    </row>
    <row r="55">
      <c r="A55" s="28"/>
      <c r="B55" s="7" t="str">
        <f t="shared" si="1"/>
        <v>52DM </v>
      </c>
      <c r="C55" s="28">
        <v>45824.0</v>
      </c>
      <c r="D55" s="29" t="s">
        <v>28</v>
      </c>
      <c r="E55" s="30">
        <v>431.0</v>
      </c>
      <c r="F55" s="30"/>
      <c r="G55" s="31" t="s">
        <v>91</v>
      </c>
      <c r="H55" s="42"/>
      <c r="I55" s="31"/>
      <c r="J55" s="34"/>
    </row>
    <row r="56">
      <c r="A56" s="28"/>
      <c r="B56" s="7" t="str">
        <f t="shared" si="1"/>
        <v>53DM </v>
      </c>
      <c r="C56" s="28">
        <v>45824.0</v>
      </c>
      <c r="D56" s="29" t="s">
        <v>28</v>
      </c>
      <c r="E56" s="30">
        <v>459.0</v>
      </c>
      <c r="F56" s="30"/>
      <c r="G56" s="31" t="s">
        <v>91</v>
      </c>
      <c r="H56" s="42"/>
      <c r="I56" s="31"/>
      <c r="J56" s="34"/>
    </row>
    <row r="57">
      <c r="A57" s="28"/>
      <c r="B57" s="7" t="str">
        <f t="shared" si="1"/>
        <v>54DM </v>
      </c>
      <c r="C57" s="28">
        <v>45824.0</v>
      </c>
      <c r="D57" s="29" t="s">
        <v>28</v>
      </c>
      <c r="E57" s="30">
        <v>459.0</v>
      </c>
      <c r="F57" s="30"/>
      <c r="G57" s="31" t="s">
        <v>92</v>
      </c>
      <c r="H57" s="42"/>
      <c r="I57" s="31"/>
      <c r="J57" s="34"/>
    </row>
    <row r="58">
      <c r="A58" s="28"/>
      <c r="B58" s="7" t="str">
        <f t="shared" si="1"/>
        <v>55DM </v>
      </c>
      <c r="C58" s="28">
        <v>45824.0</v>
      </c>
      <c r="D58" s="29" t="s">
        <v>28</v>
      </c>
      <c r="E58" s="30">
        <v>461.0</v>
      </c>
      <c r="F58" s="30"/>
      <c r="G58" s="31" t="s">
        <v>91</v>
      </c>
      <c r="H58" s="42"/>
      <c r="I58" s="31"/>
      <c r="J58" s="34"/>
    </row>
    <row r="59">
      <c r="A59" s="28"/>
      <c r="B59" s="7" t="str">
        <f t="shared" si="1"/>
        <v>56DM </v>
      </c>
      <c r="C59" s="28">
        <v>45824.0</v>
      </c>
      <c r="D59" s="29" t="s">
        <v>28</v>
      </c>
      <c r="E59" s="30">
        <v>442.0</v>
      </c>
      <c r="F59" s="30"/>
      <c r="G59" s="31" t="s">
        <v>93</v>
      </c>
      <c r="H59" s="42"/>
      <c r="I59" s="31"/>
      <c r="J59" s="34"/>
    </row>
    <row r="60">
      <c r="A60" s="28"/>
      <c r="B60" s="7" t="str">
        <f t="shared" si="1"/>
        <v>57DM </v>
      </c>
      <c r="C60" s="28">
        <v>45824.0</v>
      </c>
      <c r="D60" s="29" t="s">
        <v>28</v>
      </c>
      <c r="E60" s="30">
        <v>420.0</v>
      </c>
      <c r="F60" s="30"/>
      <c r="G60" s="31" t="s">
        <v>91</v>
      </c>
      <c r="H60" s="42"/>
      <c r="I60" s="31"/>
      <c r="J60" s="34"/>
    </row>
    <row r="61">
      <c r="A61" s="28"/>
      <c r="B61" s="7" t="str">
        <f t="shared" si="1"/>
        <v>58</v>
      </c>
      <c r="C61" s="28"/>
      <c r="D61" s="43"/>
      <c r="E61" s="30"/>
      <c r="F61" s="30"/>
      <c r="G61" s="31"/>
      <c r="H61" s="42"/>
      <c r="I61" s="31"/>
      <c r="J61" s="34"/>
    </row>
    <row r="62">
      <c r="A62" s="28"/>
      <c r="B62" s="7" t="str">
        <f t="shared" si="1"/>
        <v>59</v>
      </c>
      <c r="C62" s="28"/>
      <c r="D62" s="43"/>
      <c r="E62" s="30"/>
      <c r="F62" s="30"/>
      <c r="G62" s="31"/>
      <c r="H62" s="42"/>
      <c r="I62" s="31"/>
      <c r="J62" s="34"/>
    </row>
    <row r="63">
      <c r="A63" s="28"/>
      <c r="B63" s="7" t="str">
        <f t="shared" si="1"/>
        <v>60</v>
      </c>
      <c r="C63" s="28"/>
      <c r="D63" s="43"/>
      <c r="E63" s="30"/>
      <c r="F63" s="30"/>
      <c r="G63" s="31"/>
      <c r="H63" s="42"/>
      <c r="I63" s="31"/>
      <c r="J63" s="34"/>
    </row>
    <row r="64">
      <c r="A64" s="28"/>
      <c r="B64" s="7" t="str">
        <f t="shared" si="1"/>
        <v>61</v>
      </c>
      <c r="C64" s="28"/>
      <c r="D64" s="43"/>
      <c r="E64" s="30"/>
      <c r="F64" s="30"/>
      <c r="G64" s="31"/>
      <c r="H64" s="42"/>
      <c r="I64" s="31"/>
      <c r="J64" s="34"/>
    </row>
    <row r="65">
      <c r="A65" s="28"/>
      <c r="B65" s="7" t="str">
        <f t="shared" si="1"/>
        <v>62</v>
      </c>
      <c r="C65" s="28"/>
      <c r="D65" s="43"/>
      <c r="E65" s="30"/>
      <c r="F65" s="30"/>
      <c r="G65" s="31"/>
      <c r="H65" s="42"/>
      <c r="I65" s="31"/>
      <c r="J65" s="34"/>
    </row>
    <row r="66">
      <c r="A66" s="28"/>
      <c r="B66" s="7" t="str">
        <f t="shared" si="1"/>
        <v>63</v>
      </c>
      <c r="C66" s="28"/>
      <c r="D66" s="43"/>
      <c r="E66" s="30"/>
      <c r="F66" s="30"/>
      <c r="G66" s="31"/>
      <c r="H66" s="42"/>
      <c r="I66" s="31"/>
      <c r="J66" s="34"/>
    </row>
  </sheetData>
  <mergeCells count="1">
    <mergeCell ref="C1:I1"/>
  </mergeCells>
  <dataValidations>
    <dataValidation type="list" allowBlank="1" sqref="H4:H66">
      <formula1>"Low Priority,High Priority,Documented "</formula1>
    </dataValidation>
    <dataValidation type="list" allowBlank="1" sqref="D4:D66">
      <formula1>"DM,In-house,J&amp;J Vis,Imperial"</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3" width="12.5"/>
    <col customWidth="1" min="4" max="4" width="13.5"/>
    <col customWidth="1" min="5" max="5" width="19.63"/>
    <col customWidth="1" min="6" max="6" width="12.38"/>
    <col customWidth="1" min="7" max="7" width="17.75"/>
    <col customWidth="1" min="8" max="8" width="16.75"/>
    <col customWidth="1" min="9" max="9" width="20.0"/>
    <col customWidth="1" min="10" max="10" width="17.75"/>
    <col customWidth="1" min="11" max="12" width="16.88"/>
    <col customWidth="1" min="13" max="13" width="17.38"/>
    <col customWidth="1" min="14" max="14" width="13.63"/>
    <col customWidth="1" min="15" max="15" width="19.5"/>
    <col customWidth="1" min="16" max="16" width="19.25"/>
    <col customWidth="1" min="17" max="17" width="13.63"/>
    <col customWidth="1" min="18" max="18" width="17.63"/>
    <col customWidth="1" min="20" max="20" width="19.63"/>
  </cols>
  <sheetData>
    <row r="1">
      <c r="A1" s="44" t="s">
        <v>94</v>
      </c>
      <c r="B1" s="45" t="s">
        <v>2</v>
      </c>
      <c r="C1" s="44" t="s">
        <v>95</v>
      </c>
      <c r="D1" s="44" t="s">
        <v>96</v>
      </c>
      <c r="E1" s="45" t="s">
        <v>97</v>
      </c>
      <c r="F1" s="46" t="s">
        <v>98</v>
      </c>
      <c r="G1" s="44" t="s">
        <v>99</v>
      </c>
      <c r="H1" s="47" t="s">
        <v>100</v>
      </c>
      <c r="I1" s="47" t="s">
        <v>101</v>
      </c>
      <c r="J1" s="48" t="s">
        <v>102</v>
      </c>
      <c r="K1" s="48" t="s">
        <v>103</v>
      </c>
      <c r="L1" s="47" t="s">
        <v>104</v>
      </c>
      <c r="M1" s="49" t="s">
        <v>105</v>
      </c>
      <c r="N1" s="49" t="s">
        <v>106</v>
      </c>
      <c r="O1" s="47" t="s">
        <v>107</v>
      </c>
      <c r="P1" s="50" t="s">
        <v>108</v>
      </c>
      <c r="Q1" s="51" t="s">
        <v>109</v>
      </c>
      <c r="R1" s="49" t="s">
        <v>110</v>
      </c>
      <c r="S1" s="47" t="s">
        <v>111</v>
      </c>
      <c r="T1" s="52" t="s">
        <v>112</v>
      </c>
      <c r="U1" s="52" t="s">
        <v>113</v>
      </c>
    </row>
    <row r="2">
      <c r="A2" s="53"/>
      <c r="B2" s="53" t="str">
        <f t="shared" ref="B2:B13" si="1">row(A1)&amp;C2&amp;D2</f>
        <v>1449JJ</v>
      </c>
      <c r="C2" s="53">
        <v>449.0</v>
      </c>
      <c r="D2" s="54" t="s">
        <v>114</v>
      </c>
      <c r="E2" s="55">
        <v>45838.0</v>
      </c>
      <c r="F2" s="56"/>
      <c r="G2" s="57" t="s">
        <v>115</v>
      </c>
      <c r="H2" s="58" t="s">
        <v>116</v>
      </c>
      <c r="I2" s="59"/>
      <c r="J2" s="60"/>
      <c r="K2" s="61"/>
      <c r="L2" s="62" t="s">
        <v>117</v>
      </c>
      <c r="M2" s="63">
        <v>45838.0</v>
      </c>
      <c r="N2" s="62" t="s">
        <v>118</v>
      </c>
      <c r="O2" s="64"/>
      <c r="P2" s="65"/>
      <c r="Q2" s="65">
        <v>20.0</v>
      </c>
      <c r="R2" s="66">
        <v>1.0</v>
      </c>
      <c r="S2" s="67"/>
      <c r="T2" s="68"/>
      <c r="U2" s="68"/>
    </row>
    <row r="3">
      <c r="A3" s="53"/>
      <c r="B3" s="53" t="str">
        <f t="shared" si="1"/>
        <v>2450JJ</v>
      </c>
      <c r="C3" s="53">
        <v>450.0</v>
      </c>
      <c r="D3" s="54" t="s">
        <v>114</v>
      </c>
      <c r="E3" s="55">
        <v>45838.0</v>
      </c>
      <c r="F3" s="68"/>
      <c r="G3" s="69" t="s">
        <v>115</v>
      </c>
      <c r="H3" s="58" t="s">
        <v>116</v>
      </c>
      <c r="I3" s="70"/>
      <c r="J3" s="70"/>
      <c r="K3" s="71"/>
      <c r="L3" s="62" t="s">
        <v>117</v>
      </c>
      <c r="M3" s="72">
        <v>45838.0</v>
      </c>
      <c r="N3" s="66" t="s">
        <v>118</v>
      </c>
      <c r="O3" s="68"/>
      <c r="P3" s="65"/>
      <c r="Q3" s="65">
        <v>20.0</v>
      </c>
      <c r="R3" s="62">
        <v>1.0</v>
      </c>
      <c r="S3" s="68"/>
      <c r="T3" s="68"/>
      <c r="U3" s="68"/>
    </row>
    <row r="4">
      <c r="A4" s="53"/>
      <c r="B4" s="53" t="str">
        <f t="shared" si="1"/>
        <v>3451JJ</v>
      </c>
      <c r="C4" s="53">
        <v>451.0</v>
      </c>
      <c r="D4" s="54" t="s">
        <v>114</v>
      </c>
      <c r="E4" s="55">
        <v>45838.0</v>
      </c>
      <c r="F4" s="68"/>
      <c r="G4" s="69" t="s">
        <v>115</v>
      </c>
      <c r="H4" s="58" t="s">
        <v>116</v>
      </c>
      <c r="I4" s="70"/>
      <c r="J4" s="70"/>
      <c r="K4" s="71"/>
      <c r="L4" s="62" t="s">
        <v>117</v>
      </c>
      <c r="M4" s="72">
        <v>45838.0</v>
      </c>
      <c r="N4" s="66" t="s">
        <v>118</v>
      </c>
      <c r="O4" s="68"/>
      <c r="P4" s="65"/>
      <c r="Q4" s="65">
        <v>20.0</v>
      </c>
      <c r="R4" s="62">
        <v>1.0</v>
      </c>
      <c r="S4" s="68"/>
      <c r="T4" s="68"/>
      <c r="U4" s="68"/>
    </row>
    <row r="5">
      <c r="A5" s="53"/>
      <c r="B5" s="53" t="str">
        <f t="shared" si="1"/>
        <v>4452JJ</v>
      </c>
      <c r="C5" s="53">
        <v>452.0</v>
      </c>
      <c r="D5" s="54" t="s">
        <v>114</v>
      </c>
      <c r="E5" s="55">
        <v>45838.0</v>
      </c>
      <c r="F5" s="68"/>
      <c r="G5" s="69" t="s">
        <v>115</v>
      </c>
      <c r="H5" s="58" t="s">
        <v>116</v>
      </c>
      <c r="I5" s="70"/>
      <c r="J5" s="70"/>
      <c r="K5" s="71"/>
      <c r="L5" s="62" t="s">
        <v>117</v>
      </c>
      <c r="M5" s="72">
        <v>45838.0</v>
      </c>
      <c r="N5" s="66" t="s">
        <v>118</v>
      </c>
      <c r="O5" s="68"/>
      <c r="P5" s="65"/>
      <c r="Q5" s="65">
        <v>20.0</v>
      </c>
      <c r="R5" s="62">
        <v>1.0</v>
      </c>
      <c r="S5" s="68"/>
      <c r="T5" s="68"/>
      <c r="U5" s="68"/>
    </row>
    <row r="6">
      <c r="A6" s="53"/>
      <c r="B6" s="53" t="str">
        <f t="shared" si="1"/>
        <v>5453JJ</v>
      </c>
      <c r="C6" s="53">
        <v>453.0</v>
      </c>
      <c r="D6" s="54" t="s">
        <v>114</v>
      </c>
      <c r="E6" s="55">
        <v>45838.0</v>
      </c>
      <c r="F6" s="68"/>
      <c r="G6" s="69" t="s">
        <v>115</v>
      </c>
      <c r="H6" s="58" t="s">
        <v>116</v>
      </c>
      <c r="I6" s="70"/>
      <c r="J6" s="70"/>
      <c r="K6" s="71"/>
      <c r="L6" s="62" t="s">
        <v>117</v>
      </c>
      <c r="M6" s="72">
        <v>45838.0</v>
      </c>
      <c r="N6" s="66" t="s">
        <v>118</v>
      </c>
      <c r="O6" s="68"/>
      <c r="P6" s="65"/>
      <c r="Q6" s="65">
        <v>20.0</v>
      </c>
      <c r="R6" s="62">
        <v>1.0</v>
      </c>
      <c r="S6" s="68"/>
      <c r="T6" s="68"/>
      <c r="U6" s="68"/>
    </row>
    <row r="7">
      <c r="A7" s="53"/>
      <c r="B7" s="53" t="str">
        <f t="shared" si="1"/>
        <v>6454JJ</v>
      </c>
      <c r="C7" s="53">
        <v>454.0</v>
      </c>
      <c r="D7" s="54" t="s">
        <v>114</v>
      </c>
      <c r="E7" s="55">
        <v>45838.0</v>
      </c>
      <c r="F7" s="68"/>
      <c r="G7" s="69" t="s">
        <v>115</v>
      </c>
      <c r="H7" s="58" t="s">
        <v>116</v>
      </c>
      <c r="I7" s="70"/>
      <c r="J7" s="70"/>
      <c r="K7" s="71"/>
      <c r="L7" s="62" t="s">
        <v>117</v>
      </c>
      <c r="M7" s="72">
        <v>45838.0</v>
      </c>
      <c r="N7" s="66" t="s">
        <v>118</v>
      </c>
      <c r="O7" s="68"/>
      <c r="P7" s="65"/>
      <c r="Q7" s="65">
        <v>20.0</v>
      </c>
      <c r="R7" s="62">
        <v>1.0</v>
      </c>
      <c r="S7" s="68"/>
      <c r="T7" s="68"/>
      <c r="U7" s="68"/>
    </row>
    <row r="8">
      <c r="A8" s="68"/>
      <c r="B8" s="53" t="str">
        <f t="shared" si="1"/>
        <v>7JJ</v>
      </c>
      <c r="C8" s="73"/>
      <c r="D8" s="74" t="s">
        <v>114</v>
      </c>
      <c r="E8" s="68"/>
      <c r="F8" s="68"/>
      <c r="G8" s="68"/>
      <c r="H8" s="75"/>
      <c r="I8" s="75"/>
      <c r="J8" s="75"/>
      <c r="K8" s="68"/>
      <c r="L8" s="75"/>
      <c r="M8" s="68"/>
      <c r="N8" s="75"/>
      <c r="O8" s="68"/>
      <c r="P8" s="68"/>
      <c r="Q8" s="68"/>
      <c r="R8" s="75"/>
      <c r="S8" s="68"/>
      <c r="T8" s="68"/>
      <c r="U8" s="68"/>
    </row>
    <row r="9">
      <c r="A9" s="68"/>
      <c r="B9" s="53" t="str">
        <f t="shared" si="1"/>
        <v>8JJ</v>
      </c>
      <c r="C9" s="73"/>
      <c r="D9" s="74" t="s">
        <v>114</v>
      </c>
      <c r="E9" s="68"/>
      <c r="F9" s="68"/>
      <c r="G9" s="68"/>
      <c r="H9" s="75"/>
      <c r="I9" s="75"/>
      <c r="J9" s="75"/>
      <c r="K9" s="68"/>
      <c r="L9" s="75"/>
      <c r="M9" s="68"/>
      <c r="N9" s="75"/>
      <c r="O9" s="68"/>
      <c r="P9" s="68"/>
      <c r="Q9" s="68"/>
      <c r="R9" s="75"/>
      <c r="S9" s="68"/>
      <c r="T9" s="68"/>
      <c r="U9" s="68"/>
    </row>
    <row r="10">
      <c r="A10" s="68"/>
      <c r="B10" s="53" t="str">
        <f t="shared" si="1"/>
        <v>9JJ</v>
      </c>
      <c r="C10" s="76"/>
      <c r="D10" s="74" t="s">
        <v>114</v>
      </c>
      <c r="E10" s="68"/>
      <c r="F10" s="68"/>
      <c r="G10" s="68"/>
      <c r="H10" s="75"/>
      <c r="I10" s="75"/>
      <c r="J10" s="75"/>
      <c r="K10" s="68"/>
      <c r="L10" s="75"/>
      <c r="M10" s="68"/>
      <c r="N10" s="75"/>
      <c r="O10" s="68"/>
      <c r="P10" s="68"/>
      <c r="Q10" s="68"/>
      <c r="R10" s="75"/>
      <c r="S10" s="68"/>
      <c r="T10" s="68"/>
      <c r="U10" s="68"/>
    </row>
    <row r="11">
      <c r="A11" s="68"/>
      <c r="B11" s="53" t="str">
        <f t="shared" si="1"/>
        <v>10JJ</v>
      </c>
      <c r="C11" s="76"/>
      <c r="D11" s="74" t="s">
        <v>114</v>
      </c>
      <c r="E11" s="68"/>
      <c r="F11" s="68"/>
      <c r="G11" s="68"/>
      <c r="H11" s="75"/>
      <c r="I11" s="75"/>
      <c r="J11" s="75"/>
      <c r="K11" s="68"/>
      <c r="L11" s="75"/>
      <c r="M11" s="68"/>
      <c r="N11" s="75"/>
      <c r="O11" s="68"/>
      <c r="P11" s="68"/>
      <c r="Q11" s="68"/>
      <c r="R11" s="75"/>
      <c r="S11" s="68"/>
      <c r="T11" s="68"/>
      <c r="U11" s="68"/>
    </row>
    <row r="12">
      <c r="A12" s="68"/>
      <c r="B12" s="53" t="str">
        <f t="shared" si="1"/>
        <v>11JJ</v>
      </c>
      <c r="C12" s="76"/>
      <c r="D12" s="74" t="s">
        <v>114</v>
      </c>
      <c r="E12" s="68"/>
      <c r="F12" s="68"/>
      <c r="G12" s="68"/>
      <c r="H12" s="75"/>
      <c r="I12" s="75"/>
      <c r="J12" s="75"/>
      <c r="K12" s="68"/>
      <c r="L12" s="75"/>
      <c r="M12" s="68"/>
      <c r="N12" s="75"/>
      <c r="O12" s="68"/>
      <c r="P12" s="68"/>
      <c r="Q12" s="68"/>
      <c r="R12" s="75"/>
      <c r="S12" s="68"/>
      <c r="T12" s="68"/>
      <c r="U12" s="68"/>
    </row>
    <row r="13">
      <c r="A13" s="68"/>
      <c r="B13" s="53" t="str">
        <f t="shared" si="1"/>
        <v>12JJ</v>
      </c>
      <c r="C13" s="76"/>
      <c r="D13" s="74" t="s">
        <v>114</v>
      </c>
      <c r="E13" s="68"/>
      <c r="F13" s="68"/>
      <c r="G13" s="68"/>
      <c r="H13" s="75"/>
      <c r="I13" s="75"/>
      <c r="J13" s="75"/>
      <c r="K13" s="68"/>
      <c r="L13" s="75"/>
      <c r="M13" s="68"/>
      <c r="N13" s="75"/>
      <c r="O13" s="68"/>
      <c r="P13" s="68"/>
      <c r="Q13" s="68"/>
      <c r="R13" s="75"/>
      <c r="S13" s="68"/>
      <c r="T13" s="68"/>
      <c r="U13" s="68"/>
    </row>
  </sheetData>
  <dataValidations>
    <dataValidation type="list" allowBlank="1" sqref="H2:H13">
      <formula1>"Campaign,Service,Deployment"</formula1>
    </dataValidation>
    <dataValidation type="list" allowBlank="1" sqref="R2:R13">
      <formula1>"1,2,3"</formula1>
    </dataValidation>
    <dataValidation type="list" allowBlank="1" sqref="L2:L13">
      <formula1>"Complete,Scheduled,In Process"</formula1>
    </dataValidation>
    <dataValidation type="custom" allowBlank="1" showDropDown="1" sqref="C2:C13">
      <formula1>AND(ISNUMBER(C2),(NOT(OR(NOT(ISERROR(DATEVALUE(C2))), AND(ISNUMBER(C2), LEFT(CELL("format", C2))="D")))))</formula1>
    </dataValidation>
    <dataValidation type="list" allowBlank="1" sqref="J2:J13">
      <formula1>"Handle,Firmware,E-Stops,Blue Safety Light,HMI,PM,RGo,Motor,SLA System,Battery,SICK Safety System,Aesthetic"</formula1>
    </dataValidation>
    <dataValidation type="list" allowBlank="1" sqref="I2:I13">
      <formula1>"Top Module,Platform,Platform, Top Module,Preventative Maintenance,Battery"</formula1>
    </dataValidation>
    <dataValidation type="list" allowBlank="1" sqref="N2:N13">
      <formula1>"In Service,Out of Service"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25"/>
    <col customWidth="1" min="2" max="2" width="13.5"/>
    <col customWidth="1" min="3" max="3" width="19.5"/>
    <col customWidth="1" min="4" max="4" width="21.63"/>
    <col customWidth="1" min="5" max="5" width="25.13"/>
    <col customWidth="1" min="6" max="7" width="18.25"/>
    <col customWidth="1" min="8" max="9" width="21.38"/>
    <col customWidth="1" min="10" max="10" width="16.88"/>
    <col customWidth="1" min="11" max="11" width="17.75"/>
    <col customWidth="1" min="12" max="12" width="32.88"/>
    <col customWidth="1" min="13" max="13" width="38.38"/>
    <col customWidth="1" min="15" max="15" width="27.13"/>
  </cols>
  <sheetData>
    <row r="1">
      <c r="A1" s="44" t="s">
        <v>95</v>
      </c>
      <c r="B1" s="44" t="s">
        <v>96</v>
      </c>
      <c r="C1" s="45" t="s">
        <v>119</v>
      </c>
      <c r="D1" s="46" t="s">
        <v>98</v>
      </c>
      <c r="E1" s="44" t="s">
        <v>99</v>
      </c>
      <c r="F1" s="47" t="s">
        <v>100</v>
      </c>
      <c r="G1" s="47" t="s">
        <v>101</v>
      </c>
      <c r="H1" s="48" t="s">
        <v>102</v>
      </c>
      <c r="I1" s="48" t="s">
        <v>103</v>
      </c>
      <c r="J1" s="47" t="s">
        <v>27</v>
      </c>
      <c r="K1" s="49" t="s">
        <v>105</v>
      </c>
      <c r="L1" s="49" t="s">
        <v>104</v>
      </c>
      <c r="M1" s="47" t="s">
        <v>120</v>
      </c>
      <c r="N1" s="51" t="s">
        <v>109</v>
      </c>
      <c r="O1" s="47" t="s">
        <v>111</v>
      </c>
      <c r="P1" s="52" t="s">
        <v>121</v>
      </c>
      <c r="Q1" s="52" t="s">
        <v>113</v>
      </c>
    </row>
    <row r="2" hidden="1">
      <c r="A2" s="77">
        <v>414.0</v>
      </c>
      <c r="B2" s="78" t="s">
        <v>11</v>
      </c>
      <c r="C2" s="55"/>
      <c r="D2" s="56" t="s">
        <v>122</v>
      </c>
      <c r="E2" s="79" t="s">
        <v>123</v>
      </c>
      <c r="F2" s="66" t="s">
        <v>124</v>
      </c>
      <c r="G2" s="80" t="s">
        <v>125</v>
      </c>
      <c r="H2" s="66" t="s">
        <v>126</v>
      </c>
      <c r="I2" s="67" t="s">
        <v>127</v>
      </c>
      <c r="J2" s="62" t="s">
        <v>117</v>
      </c>
      <c r="K2" s="72">
        <v>45736.0</v>
      </c>
      <c r="L2" s="66"/>
      <c r="M2" s="67" t="s">
        <v>128</v>
      </c>
      <c r="N2" s="67">
        <v>14.0</v>
      </c>
      <c r="O2" s="68"/>
      <c r="P2" s="68"/>
      <c r="Q2" s="68"/>
    </row>
    <row r="3" hidden="1">
      <c r="A3" s="81">
        <v>414.0</v>
      </c>
      <c r="B3" s="82" t="s">
        <v>11</v>
      </c>
      <c r="C3" s="83"/>
      <c r="D3" s="84"/>
      <c r="E3" s="83"/>
      <c r="F3" s="66" t="s">
        <v>124</v>
      </c>
      <c r="G3" s="85" t="s">
        <v>129</v>
      </c>
      <c r="H3" s="86" t="s">
        <v>130</v>
      </c>
      <c r="I3" s="87" t="s">
        <v>131</v>
      </c>
      <c r="J3" s="62" t="s">
        <v>117</v>
      </c>
      <c r="K3" s="63">
        <v>45789.0</v>
      </c>
      <c r="L3" s="62"/>
      <c r="M3" s="68"/>
      <c r="N3" s="65">
        <v>25.0</v>
      </c>
      <c r="O3" s="67" t="s">
        <v>132</v>
      </c>
      <c r="P3" s="68"/>
      <c r="Q3" s="68"/>
    </row>
    <row r="4" hidden="1">
      <c r="A4" s="88">
        <v>414.0</v>
      </c>
      <c r="B4" s="89" t="s">
        <v>11</v>
      </c>
      <c r="C4" s="90"/>
      <c r="D4" s="91"/>
      <c r="E4" s="90"/>
      <c r="F4" s="66" t="s">
        <v>124</v>
      </c>
      <c r="G4" s="92" t="s">
        <v>133</v>
      </c>
      <c r="H4" s="93" t="s">
        <v>134</v>
      </c>
      <c r="I4" s="94" t="s">
        <v>135</v>
      </c>
      <c r="J4" s="62" t="s">
        <v>117</v>
      </c>
      <c r="K4" s="72">
        <v>45790.0</v>
      </c>
      <c r="L4" s="66"/>
      <c r="M4" s="67"/>
      <c r="N4" s="67">
        <v>75.0</v>
      </c>
      <c r="O4" s="67" t="s">
        <v>136</v>
      </c>
      <c r="P4" s="68"/>
      <c r="Q4" s="68"/>
    </row>
    <row r="5" hidden="1">
      <c r="A5" s="95">
        <v>414.0</v>
      </c>
      <c r="B5" s="96" t="s">
        <v>11</v>
      </c>
      <c r="C5" s="97"/>
      <c r="D5" s="96"/>
      <c r="E5" s="98"/>
      <c r="F5" s="58" t="s">
        <v>137</v>
      </c>
      <c r="G5" s="58" t="s">
        <v>129</v>
      </c>
      <c r="H5" s="86" t="s">
        <v>138</v>
      </c>
      <c r="I5" s="61" t="s">
        <v>139</v>
      </c>
      <c r="J5" s="62" t="s">
        <v>117</v>
      </c>
      <c r="K5" s="63">
        <v>45796.0</v>
      </c>
      <c r="L5" s="62"/>
      <c r="M5" s="64" t="s">
        <v>140</v>
      </c>
      <c r="N5" s="65">
        <v>6.0</v>
      </c>
      <c r="O5" s="67" t="s">
        <v>141</v>
      </c>
      <c r="P5" s="68"/>
      <c r="Q5" s="68"/>
    </row>
    <row r="6" hidden="1">
      <c r="A6" s="81">
        <v>414.0</v>
      </c>
      <c r="B6" s="82" t="s">
        <v>11</v>
      </c>
      <c r="C6" s="97"/>
      <c r="D6" s="96"/>
      <c r="E6" s="98"/>
      <c r="F6" s="66" t="s">
        <v>124</v>
      </c>
      <c r="G6" s="58" t="s">
        <v>129</v>
      </c>
      <c r="H6" s="86" t="s">
        <v>130</v>
      </c>
      <c r="I6" s="61" t="s">
        <v>142</v>
      </c>
      <c r="J6" s="62" t="s">
        <v>117</v>
      </c>
      <c r="K6" s="63">
        <v>45818.0</v>
      </c>
      <c r="L6" s="62"/>
      <c r="M6" s="64" t="s">
        <v>143</v>
      </c>
      <c r="N6" s="65">
        <v>15.0</v>
      </c>
      <c r="O6" s="67"/>
      <c r="P6" s="68"/>
      <c r="Q6" s="68"/>
    </row>
    <row r="7" hidden="1">
      <c r="A7" s="81">
        <v>414.0</v>
      </c>
      <c r="B7" s="82" t="s">
        <v>11</v>
      </c>
      <c r="C7" s="97"/>
      <c r="D7" s="96"/>
      <c r="E7" s="98"/>
      <c r="F7" s="66" t="s">
        <v>124</v>
      </c>
      <c r="G7" s="66" t="s">
        <v>125</v>
      </c>
      <c r="H7" s="86" t="s">
        <v>130</v>
      </c>
      <c r="I7" s="61" t="s">
        <v>144</v>
      </c>
      <c r="J7" s="62" t="s">
        <v>117</v>
      </c>
      <c r="K7" s="63">
        <v>45818.0</v>
      </c>
      <c r="L7" s="99"/>
      <c r="M7" s="64" t="s">
        <v>145</v>
      </c>
      <c r="N7" s="65">
        <v>5.0</v>
      </c>
      <c r="O7" s="67"/>
      <c r="P7" s="68"/>
      <c r="Q7" s="68"/>
    </row>
    <row r="8" hidden="1">
      <c r="A8" s="81">
        <v>414.0</v>
      </c>
      <c r="B8" s="82" t="s">
        <v>11</v>
      </c>
      <c r="C8" s="97"/>
      <c r="D8" s="96"/>
      <c r="E8" s="98"/>
      <c r="F8" s="66" t="s">
        <v>124</v>
      </c>
      <c r="G8" s="66" t="s">
        <v>125</v>
      </c>
      <c r="H8" s="86" t="s">
        <v>146</v>
      </c>
      <c r="I8" s="61" t="s">
        <v>147</v>
      </c>
      <c r="J8" s="62" t="s">
        <v>117</v>
      </c>
      <c r="K8" s="63">
        <v>45818.0</v>
      </c>
      <c r="L8" s="62" t="s">
        <v>118</v>
      </c>
      <c r="M8" s="64" t="s">
        <v>148</v>
      </c>
      <c r="N8" s="65">
        <v>8.0</v>
      </c>
      <c r="O8" s="67" t="s">
        <v>149</v>
      </c>
      <c r="P8" s="68"/>
      <c r="Q8" s="68"/>
    </row>
    <row r="9">
      <c r="A9" s="100">
        <v>414.0</v>
      </c>
      <c r="B9" s="78" t="s">
        <v>11</v>
      </c>
      <c r="C9" s="101">
        <v>45702.0</v>
      </c>
      <c r="D9" s="56" t="s">
        <v>150</v>
      </c>
      <c r="E9" s="57" t="s">
        <v>123</v>
      </c>
      <c r="F9" s="58" t="s">
        <v>116</v>
      </c>
      <c r="G9" s="59"/>
      <c r="H9" s="60"/>
      <c r="I9" s="61"/>
      <c r="J9" s="62"/>
      <c r="K9" s="63"/>
      <c r="L9" s="62"/>
      <c r="M9" s="64"/>
      <c r="N9" s="102"/>
      <c r="O9" s="67"/>
      <c r="P9" s="68"/>
      <c r="Q9" s="68"/>
    </row>
    <row r="10" hidden="1">
      <c r="A10" s="100">
        <v>415.0</v>
      </c>
      <c r="B10" s="78" t="s">
        <v>11</v>
      </c>
      <c r="C10" s="55"/>
      <c r="D10" s="56" t="s">
        <v>122</v>
      </c>
      <c r="E10" s="79" t="s">
        <v>123</v>
      </c>
      <c r="F10" s="66" t="s">
        <v>124</v>
      </c>
      <c r="G10" s="66" t="s">
        <v>125</v>
      </c>
      <c r="H10" s="66" t="s">
        <v>126</v>
      </c>
      <c r="I10" s="67" t="s">
        <v>127</v>
      </c>
      <c r="J10" s="62" t="s">
        <v>117</v>
      </c>
      <c r="K10" s="72">
        <v>45736.0</v>
      </c>
      <c r="L10" s="103"/>
      <c r="M10" s="67" t="s">
        <v>151</v>
      </c>
      <c r="N10" s="67">
        <v>15.0</v>
      </c>
      <c r="O10" s="68"/>
      <c r="P10" s="68"/>
      <c r="Q10" s="68"/>
    </row>
    <row r="11" hidden="1">
      <c r="A11" s="104">
        <v>415.0</v>
      </c>
      <c r="B11" s="89" t="s">
        <v>11</v>
      </c>
      <c r="C11" s="90"/>
      <c r="D11" s="91"/>
      <c r="E11" s="90"/>
      <c r="F11" s="58" t="s">
        <v>137</v>
      </c>
      <c r="G11" s="66" t="s">
        <v>125</v>
      </c>
      <c r="H11" s="93" t="s">
        <v>152</v>
      </c>
      <c r="I11" s="94" t="s">
        <v>153</v>
      </c>
      <c r="J11" s="62" t="s">
        <v>117</v>
      </c>
      <c r="K11" s="72">
        <v>45778.0</v>
      </c>
      <c r="L11" s="66"/>
      <c r="M11" s="67" t="s">
        <v>154</v>
      </c>
      <c r="N11" s="67">
        <v>60.0</v>
      </c>
      <c r="O11" s="67" t="s">
        <v>155</v>
      </c>
      <c r="P11" s="105"/>
      <c r="Q11" s="105"/>
    </row>
    <row r="12" hidden="1">
      <c r="A12" s="104">
        <v>415.0</v>
      </c>
      <c r="B12" s="89" t="s">
        <v>11</v>
      </c>
      <c r="C12" s="90"/>
      <c r="D12" s="91"/>
      <c r="E12" s="90"/>
      <c r="F12" s="58" t="s">
        <v>137</v>
      </c>
      <c r="G12" s="93" t="s">
        <v>156</v>
      </c>
      <c r="H12" s="93" t="s">
        <v>157</v>
      </c>
      <c r="I12" s="94" t="s">
        <v>156</v>
      </c>
      <c r="J12" s="62" t="s">
        <v>117</v>
      </c>
      <c r="K12" s="72">
        <v>45778.0</v>
      </c>
      <c r="L12" s="66"/>
      <c r="M12" s="67" t="s">
        <v>158</v>
      </c>
      <c r="N12" s="67">
        <v>20.0</v>
      </c>
      <c r="O12" s="67" t="s">
        <v>159</v>
      </c>
      <c r="P12" s="105"/>
      <c r="Q12" s="105"/>
    </row>
    <row r="13" hidden="1">
      <c r="A13" s="106">
        <v>415.0</v>
      </c>
      <c r="B13" s="82" t="s">
        <v>11</v>
      </c>
      <c r="C13" s="83"/>
      <c r="D13" s="84"/>
      <c r="E13" s="83"/>
      <c r="F13" s="66" t="s">
        <v>124</v>
      </c>
      <c r="G13" s="85" t="s">
        <v>129</v>
      </c>
      <c r="H13" s="86" t="s">
        <v>130</v>
      </c>
      <c r="I13" s="87" t="s">
        <v>131</v>
      </c>
      <c r="J13" s="62" t="s">
        <v>117</v>
      </c>
      <c r="K13" s="63">
        <v>45789.0</v>
      </c>
      <c r="L13" s="62"/>
      <c r="M13" s="68"/>
      <c r="N13" s="65">
        <v>25.0</v>
      </c>
      <c r="O13" s="67" t="s">
        <v>132</v>
      </c>
      <c r="P13" s="68"/>
      <c r="Q13" s="68"/>
    </row>
    <row r="14" hidden="1">
      <c r="A14" s="104">
        <v>415.0</v>
      </c>
      <c r="B14" s="89" t="s">
        <v>11</v>
      </c>
      <c r="C14" s="90"/>
      <c r="D14" s="91"/>
      <c r="E14" s="90"/>
      <c r="F14" s="66" t="s">
        <v>124</v>
      </c>
      <c r="G14" s="92" t="s">
        <v>133</v>
      </c>
      <c r="H14" s="93" t="s">
        <v>134</v>
      </c>
      <c r="I14" s="94" t="s">
        <v>135</v>
      </c>
      <c r="J14" s="62" t="s">
        <v>117</v>
      </c>
      <c r="K14" s="72">
        <v>45790.0</v>
      </c>
      <c r="L14" s="66"/>
      <c r="M14" s="67"/>
      <c r="N14" s="67">
        <v>75.0</v>
      </c>
      <c r="O14" s="67" t="s">
        <v>136</v>
      </c>
      <c r="P14" s="68"/>
      <c r="Q14" s="68"/>
    </row>
    <row r="15" hidden="1">
      <c r="A15" s="104">
        <v>415.0</v>
      </c>
      <c r="B15" s="89" t="s">
        <v>11</v>
      </c>
      <c r="C15" s="90"/>
      <c r="D15" s="91"/>
      <c r="E15" s="90"/>
      <c r="F15" s="58" t="s">
        <v>137</v>
      </c>
      <c r="G15" s="92" t="s">
        <v>129</v>
      </c>
      <c r="H15" s="93" t="s">
        <v>160</v>
      </c>
      <c r="I15" s="94" t="s">
        <v>161</v>
      </c>
      <c r="J15" s="62" t="s">
        <v>162</v>
      </c>
      <c r="K15" s="72"/>
      <c r="L15" s="103"/>
      <c r="M15" s="67"/>
      <c r="N15" s="105"/>
      <c r="O15" s="67"/>
      <c r="P15" s="68"/>
      <c r="Q15" s="68"/>
    </row>
    <row r="16" hidden="1">
      <c r="A16" s="97">
        <v>415.0</v>
      </c>
      <c r="B16" s="96" t="s">
        <v>11</v>
      </c>
      <c r="C16" s="97"/>
      <c r="D16" s="96"/>
      <c r="E16" s="98"/>
      <c r="F16" s="58" t="s">
        <v>137</v>
      </c>
      <c r="G16" s="58" t="s">
        <v>129</v>
      </c>
      <c r="H16" s="86" t="s">
        <v>138</v>
      </c>
      <c r="I16" s="61" t="s">
        <v>139</v>
      </c>
      <c r="J16" s="62" t="s">
        <v>162</v>
      </c>
      <c r="K16" s="63"/>
      <c r="L16" s="99"/>
      <c r="M16" s="64"/>
      <c r="N16" s="102"/>
      <c r="O16" s="67"/>
      <c r="P16" s="68"/>
      <c r="Q16" s="68"/>
    </row>
    <row r="17" hidden="1">
      <c r="A17" s="106">
        <v>415.0</v>
      </c>
      <c r="B17" s="82" t="s">
        <v>11</v>
      </c>
      <c r="C17" s="97"/>
      <c r="D17" s="96"/>
      <c r="E17" s="98"/>
      <c r="F17" s="66" t="s">
        <v>124</v>
      </c>
      <c r="G17" s="58" t="s">
        <v>129</v>
      </c>
      <c r="H17" s="86" t="s">
        <v>130</v>
      </c>
      <c r="I17" s="61" t="s">
        <v>142</v>
      </c>
      <c r="J17" s="62" t="s">
        <v>117</v>
      </c>
      <c r="K17" s="63">
        <v>45818.0</v>
      </c>
      <c r="L17" s="99"/>
      <c r="M17" s="64" t="s">
        <v>143</v>
      </c>
      <c r="N17" s="65">
        <v>15.0</v>
      </c>
      <c r="O17" s="67"/>
      <c r="P17" s="68"/>
      <c r="Q17" s="68"/>
    </row>
    <row r="18" hidden="1">
      <c r="A18" s="106">
        <v>415.0</v>
      </c>
      <c r="B18" s="82" t="s">
        <v>11</v>
      </c>
      <c r="C18" s="97"/>
      <c r="D18" s="96"/>
      <c r="E18" s="98"/>
      <c r="F18" s="66" t="s">
        <v>124</v>
      </c>
      <c r="G18" s="66" t="s">
        <v>125</v>
      </c>
      <c r="H18" s="86" t="s">
        <v>130</v>
      </c>
      <c r="I18" s="61" t="s">
        <v>144</v>
      </c>
      <c r="J18" s="62" t="s">
        <v>117</v>
      </c>
      <c r="K18" s="63">
        <v>45818.0</v>
      </c>
      <c r="L18" s="99"/>
      <c r="M18" s="64" t="s">
        <v>145</v>
      </c>
      <c r="N18" s="65">
        <v>5.0</v>
      </c>
      <c r="O18" s="67"/>
      <c r="P18" s="68"/>
      <c r="Q18" s="68"/>
    </row>
    <row r="19" hidden="1">
      <c r="A19" s="106">
        <v>415.0</v>
      </c>
      <c r="B19" s="82" t="s">
        <v>11</v>
      </c>
      <c r="C19" s="97"/>
      <c r="D19" s="96"/>
      <c r="E19" s="98"/>
      <c r="F19" s="66" t="s">
        <v>124</v>
      </c>
      <c r="G19" s="66" t="s">
        <v>125</v>
      </c>
      <c r="H19" s="86" t="s">
        <v>146</v>
      </c>
      <c r="I19" s="61" t="s">
        <v>147</v>
      </c>
      <c r="J19" s="62" t="s">
        <v>117</v>
      </c>
      <c r="K19" s="63">
        <v>45818.0</v>
      </c>
      <c r="L19" s="62" t="s">
        <v>118</v>
      </c>
      <c r="M19" s="64" t="s">
        <v>148</v>
      </c>
      <c r="N19" s="65">
        <v>8.0</v>
      </c>
      <c r="O19" s="67" t="s">
        <v>149</v>
      </c>
      <c r="P19" s="68"/>
      <c r="Q19" s="68"/>
    </row>
    <row r="20">
      <c r="A20" s="100">
        <v>415.0</v>
      </c>
      <c r="B20" s="78" t="s">
        <v>11</v>
      </c>
      <c r="C20" s="101">
        <v>45702.0</v>
      </c>
      <c r="D20" s="56" t="s">
        <v>163</v>
      </c>
      <c r="E20" s="79" t="s">
        <v>123</v>
      </c>
      <c r="F20" s="58" t="s">
        <v>116</v>
      </c>
      <c r="G20" s="59"/>
      <c r="H20" s="60"/>
      <c r="I20" s="61"/>
      <c r="J20" s="62"/>
      <c r="K20" s="63"/>
      <c r="L20" s="62"/>
      <c r="M20" s="64"/>
      <c r="N20" s="102"/>
      <c r="O20" s="67"/>
      <c r="P20" s="68"/>
      <c r="Q20" s="68"/>
    </row>
    <row r="21" hidden="1">
      <c r="A21" s="100">
        <v>416.0</v>
      </c>
      <c r="B21" s="78" t="s">
        <v>11</v>
      </c>
      <c r="C21" s="55"/>
      <c r="D21" s="56" t="s">
        <v>122</v>
      </c>
      <c r="E21" s="79" t="s">
        <v>123</v>
      </c>
      <c r="F21" s="66" t="s">
        <v>124</v>
      </c>
      <c r="G21" s="66" t="s">
        <v>125</v>
      </c>
      <c r="H21" s="66" t="s">
        <v>126</v>
      </c>
      <c r="I21" s="67" t="s">
        <v>127</v>
      </c>
      <c r="J21" s="62" t="s">
        <v>117</v>
      </c>
      <c r="K21" s="72">
        <v>45737.0</v>
      </c>
      <c r="L21" s="103"/>
      <c r="M21" s="67" t="s">
        <v>164</v>
      </c>
      <c r="N21" s="67">
        <v>23.0</v>
      </c>
      <c r="O21" s="68"/>
      <c r="P21" s="68"/>
      <c r="Q21" s="68"/>
    </row>
    <row r="22" hidden="1">
      <c r="A22" s="106">
        <v>416.0</v>
      </c>
      <c r="B22" s="82" t="s">
        <v>11</v>
      </c>
      <c r="C22" s="83"/>
      <c r="D22" s="84"/>
      <c r="E22" s="83"/>
      <c r="F22" s="66" t="s">
        <v>124</v>
      </c>
      <c r="G22" s="85" t="s">
        <v>129</v>
      </c>
      <c r="H22" s="86" t="s">
        <v>130</v>
      </c>
      <c r="I22" s="87" t="s">
        <v>131</v>
      </c>
      <c r="J22" s="62" t="s">
        <v>117</v>
      </c>
      <c r="K22" s="63">
        <v>45789.0</v>
      </c>
      <c r="L22" s="75"/>
      <c r="M22" s="68"/>
      <c r="N22" s="65">
        <v>25.0</v>
      </c>
      <c r="O22" s="67" t="s">
        <v>165</v>
      </c>
      <c r="P22" s="68"/>
      <c r="Q22" s="68"/>
    </row>
    <row r="23" hidden="1">
      <c r="A23" s="104">
        <v>416.0</v>
      </c>
      <c r="B23" s="89" t="s">
        <v>11</v>
      </c>
      <c r="C23" s="90"/>
      <c r="D23" s="91"/>
      <c r="E23" s="90"/>
      <c r="F23" s="66" t="s">
        <v>124</v>
      </c>
      <c r="G23" s="92" t="s">
        <v>133</v>
      </c>
      <c r="H23" s="93" t="s">
        <v>134</v>
      </c>
      <c r="I23" s="94" t="s">
        <v>166</v>
      </c>
      <c r="J23" s="62" t="s">
        <v>117</v>
      </c>
      <c r="K23" s="72">
        <v>45790.0</v>
      </c>
      <c r="L23" s="103"/>
      <c r="M23" s="67"/>
      <c r="N23" s="67">
        <v>75.0</v>
      </c>
      <c r="O23" s="67" t="s">
        <v>136</v>
      </c>
      <c r="P23" s="68"/>
      <c r="Q23" s="68"/>
    </row>
    <row r="24" hidden="1">
      <c r="A24" s="104">
        <v>416.0</v>
      </c>
      <c r="B24" s="89" t="s">
        <v>11</v>
      </c>
      <c r="C24" s="90"/>
      <c r="D24" s="91"/>
      <c r="E24" s="90"/>
      <c r="F24" s="58" t="s">
        <v>137</v>
      </c>
      <c r="G24" s="92" t="s">
        <v>129</v>
      </c>
      <c r="H24" s="93" t="s">
        <v>160</v>
      </c>
      <c r="I24" s="107" t="s">
        <v>167</v>
      </c>
      <c r="J24" s="62" t="s">
        <v>117</v>
      </c>
      <c r="K24" s="72">
        <v>45790.0</v>
      </c>
      <c r="L24" s="103"/>
      <c r="M24" s="67" t="s">
        <v>168</v>
      </c>
      <c r="N24" s="67">
        <v>25.0</v>
      </c>
      <c r="O24" s="67" t="s">
        <v>169</v>
      </c>
      <c r="P24" s="68"/>
      <c r="Q24" s="68"/>
    </row>
    <row r="25" hidden="1">
      <c r="A25" s="104">
        <v>416.0</v>
      </c>
      <c r="B25" s="89" t="s">
        <v>11</v>
      </c>
      <c r="C25" s="90"/>
      <c r="D25" s="91"/>
      <c r="E25" s="90"/>
      <c r="F25" s="58" t="s">
        <v>137</v>
      </c>
      <c r="G25" s="92" t="s">
        <v>129</v>
      </c>
      <c r="H25" s="93" t="s">
        <v>160</v>
      </c>
      <c r="I25" s="108" t="s">
        <v>170</v>
      </c>
      <c r="J25" s="62" t="s">
        <v>117</v>
      </c>
      <c r="K25" s="72">
        <v>45790.0</v>
      </c>
      <c r="L25" s="66"/>
      <c r="M25" s="67" t="s">
        <v>171</v>
      </c>
      <c r="N25" s="67">
        <v>15.0</v>
      </c>
      <c r="O25" s="67" t="s">
        <v>172</v>
      </c>
      <c r="P25" s="68"/>
      <c r="Q25" s="68"/>
    </row>
    <row r="26" hidden="1">
      <c r="A26" s="97">
        <v>416.0</v>
      </c>
      <c r="B26" s="96" t="s">
        <v>11</v>
      </c>
      <c r="C26" s="97"/>
      <c r="D26" s="96"/>
      <c r="E26" s="98"/>
      <c r="F26" s="58" t="s">
        <v>137</v>
      </c>
      <c r="G26" s="58" t="s">
        <v>129</v>
      </c>
      <c r="H26" s="86" t="s">
        <v>138</v>
      </c>
      <c r="I26" s="61" t="s">
        <v>139</v>
      </c>
      <c r="J26" s="62" t="s">
        <v>117</v>
      </c>
      <c r="K26" s="63">
        <v>45796.0</v>
      </c>
      <c r="L26" s="62" t="s">
        <v>118</v>
      </c>
      <c r="M26" s="64" t="s">
        <v>140</v>
      </c>
      <c r="N26" s="65">
        <v>6.0</v>
      </c>
      <c r="O26" s="67" t="s">
        <v>141</v>
      </c>
      <c r="P26" s="68"/>
      <c r="Q26" s="68"/>
    </row>
    <row r="27" hidden="1">
      <c r="A27" s="109">
        <v>416.0</v>
      </c>
      <c r="B27" s="89" t="s">
        <v>11</v>
      </c>
      <c r="C27" s="110"/>
      <c r="D27" s="91"/>
      <c r="E27" s="89"/>
      <c r="F27" s="58" t="s">
        <v>137</v>
      </c>
      <c r="G27" s="111" t="s">
        <v>129</v>
      </c>
      <c r="H27" s="93" t="s">
        <v>160</v>
      </c>
      <c r="I27" s="94" t="s">
        <v>173</v>
      </c>
      <c r="J27" s="62" t="s">
        <v>117</v>
      </c>
      <c r="K27" s="72">
        <v>45782.0</v>
      </c>
      <c r="L27" s="103"/>
      <c r="M27" s="67" t="s">
        <v>174</v>
      </c>
      <c r="N27" s="67">
        <v>25.0</v>
      </c>
      <c r="O27" s="68"/>
      <c r="P27" s="68"/>
      <c r="Q27" s="68"/>
    </row>
    <row r="28" hidden="1">
      <c r="A28" s="109">
        <v>416.0</v>
      </c>
      <c r="B28" s="89" t="s">
        <v>11</v>
      </c>
      <c r="C28" s="110"/>
      <c r="D28" s="91"/>
      <c r="E28" s="89"/>
      <c r="F28" s="58" t="s">
        <v>137</v>
      </c>
      <c r="G28" s="66" t="s">
        <v>125</v>
      </c>
      <c r="H28" s="86" t="s">
        <v>146</v>
      </c>
      <c r="I28" s="112" t="s">
        <v>91</v>
      </c>
      <c r="J28" s="62" t="s">
        <v>162</v>
      </c>
      <c r="K28" s="72"/>
      <c r="L28" s="103"/>
      <c r="M28" s="67"/>
      <c r="N28" s="67">
        <v>11.0</v>
      </c>
      <c r="O28" s="68"/>
      <c r="P28" s="68"/>
      <c r="Q28" s="68"/>
    </row>
    <row r="29" hidden="1">
      <c r="A29" s="106">
        <v>416.0</v>
      </c>
      <c r="B29" s="82" t="s">
        <v>11</v>
      </c>
      <c r="C29" s="97"/>
      <c r="D29" s="96"/>
      <c r="E29" s="98"/>
      <c r="F29" s="66" t="s">
        <v>124</v>
      </c>
      <c r="G29" s="58" t="s">
        <v>129</v>
      </c>
      <c r="H29" s="86" t="s">
        <v>130</v>
      </c>
      <c r="I29" s="61" t="s">
        <v>142</v>
      </c>
      <c r="J29" s="62" t="s">
        <v>117</v>
      </c>
      <c r="K29" s="63">
        <v>45818.0</v>
      </c>
      <c r="L29" s="99"/>
      <c r="M29" s="64" t="s">
        <v>143</v>
      </c>
      <c r="N29" s="65">
        <v>15.0</v>
      </c>
      <c r="O29" s="67"/>
      <c r="P29" s="68"/>
      <c r="Q29" s="68"/>
    </row>
    <row r="30" hidden="1">
      <c r="A30" s="106">
        <v>416.0</v>
      </c>
      <c r="B30" s="82" t="s">
        <v>11</v>
      </c>
      <c r="C30" s="97"/>
      <c r="D30" s="96"/>
      <c r="E30" s="98"/>
      <c r="F30" s="66" t="s">
        <v>124</v>
      </c>
      <c r="G30" s="66" t="s">
        <v>125</v>
      </c>
      <c r="H30" s="86" t="s">
        <v>130</v>
      </c>
      <c r="I30" s="61" t="s">
        <v>144</v>
      </c>
      <c r="J30" s="62" t="s">
        <v>117</v>
      </c>
      <c r="K30" s="63">
        <v>45818.0</v>
      </c>
      <c r="L30" s="99"/>
      <c r="M30" s="64" t="s">
        <v>145</v>
      </c>
      <c r="N30" s="65">
        <v>5.0</v>
      </c>
      <c r="O30" s="67"/>
      <c r="P30" s="68"/>
      <c r="Q30" s="68"/>
    </row>
    <row r="31" hidden="1">
      <c r="A31" s="106">
        <v>416.0</v>
      </c>
      <c r="B31" s="82" t="s">
        <v>11</v>
      </c>
      <c r="C31" s="97"/>
      <c r="D31" s="96"/>
      <c r="E31" s="98"/>
      <c r="F31" s="66" t="s">
        <v>124</v>
      </c>
      <c r="G31" s="66" t="s">
        <v>125</v>
      </c>
      <c r="H31" s="86" t="s">
        <v>146</v>
      </c>
      <c r="I31" s="61" t="s">
        <v>147</v>
      </c>
      <c r="J31" s="62" t="s">
        <v>117</v>
      </c>
      <c r="K31" s="63">
        <v>45818.0</v>
      </c>
      <c r="L31" s="62" t="s">
        <v>118</v>
      </c>
      <c r="M31" s="64" t="s">
        <v>148</v>
      </c>
      <c r="N31" s="65">
        <v>8.0</v>
      </c>
      <c r="O31" s="67" t="s">
        <v>149</v>
      </c>
      <c r="P31" s="68"/>
      <c r="Q31" s="68"/>
    </row>
    <row r="32">
      <c r="A32" s="100">
        <v>416.0</v>
      </c>
      <c r="B32" s="78" t="s">
        <v>11</v>
      </c>
      <c r="C32" s="101">
        <v>45702.0</v>
      </c>
      <c r="D32" s="56" t="s">
        <v>175</v>
      </c>
      <c r="E32" s="79" t="s">
        <v>123</v>
      </c>
      <c r="F32" s="58" t="s">
        <v>116</v>
      </c>
      <c r="G32" s="59"/>
      <c r="H32" s="60"/>
      <c r="I32" s="61"/>
      <c r="J32" s="62"/>
      <c r="K32" s="63"/>
      <c r="L32" s="62"/>
      <c r="M32" s="64"/>
      <c r="N32" s="102"/>
      <c r="O32" s="67"/>
      <c r="P32" s="68"/>
      <c r="Q32" s="68"/>
    </row>
    <row r="33" hidden="1">
      <c r="A33" s="109">
        <v>417.0</v>
      </c>
      <c r="B33" s="78" t="s">
        <v>11</v>
      </c>
      <c r="C33" s="55"/>
      <c r="D33" s="56"/>
      <c r="E33" s="79"/>
      <c r="F33" s="66" t="s">
        <v>124</v>
      </c>
      <c r="G33" s="66" t="s">
        <v>125</v>
      </c>
      <c r="H33" s="66" t="s">
        <v>126</v>
      </c>
      <c r="I33" s="113" t="s">
        <v>127</v>
      </c>
      <c r="J33" s="62" t="s">
        <v>117</v>
      </c>
      <c r="K33" s="72">
        <v>45736.0</v>
      </c>
      <c r="L33" s="103"/>
      <c r="M33" s="67" t="s">
        <v>176</v>
      </c>
      <c r="N33" s="67">
        <v>12.0</v>
      </c>
      <c r="O33" s="68"/>
      <c r="P33" s="68"/>
      <c r="Q33" s="68"/>
    </row>
    <row r="34" hidden="1">
      <c r="A34" s="104">
        <v>417.0</v>
      </c>
      <c r="B34" s="90" t="s">
        <v>11</v>
      </c>
      <c r="C34" s="55"/>
      <c r="D34" s="56"/>
      <c r="E34" s="79"/>
      <c r="F34" s="58" t="s">
        <v>137</v>
      </c>
      <c r="G34" s="92" t="s">
        <v>129</v>
      </c>
      <c r="H34" s="92" t="s">
        <v>130</v>
      </c>
      <c r="I34" s="87" t="s">
        <v>177</v>
      </c>
      <c r="J34" s="62" t="s">
        <v>117</v>
      </c>
      <c r="K34" s="72">
        <v>45736.0</v>
      </c>
      <c r="L34" s="103"/>
      <c r="M34" s="67" t="s">
        <v>178</v>
      </c>
      <c r="N34" s="67">
        <v>36.0</v>
      </c>
      <c r="O34" s="68"/>
      <c r="P34" s="68"/>
      <c r="Q34" s="68"/>
    </row>
    <row r="35" hidden="1">
      <c r="A35" s="106">
        <v>417.0</v>
      </c>
      <c r="B35" s="82" t="s">
        <v>11</v>
      </c>
      <c r="C35" s="83"/>
      <c r="D35" s="84"/>
      <c r="E35" s="83"/>
      <c r="F35" s="66" t="s">
        <v>124</v>
      </c>
      <c r="G35" s="85" t="s">
        <v>129</v>
      </c>
      <c r="H35" s="86" t="s">
        <v>130</v>
      </c>
      <c r="I35" s="87" t="s">
        <v>131</v>
      </c>
      <c r="J35" s="62" t="s">
        <v>117</v>
      </c>
      <c r="K35" s="63">
        <v>45789.0</v>
      </c>
      <c r="L35" s="75"/>
      <c r="M35" s="68"/>
      <c r="N35" s="65">
        <v>25.0</v>
      </c>
      <c r="O35" s="67" t="s">
        <v>165</v>
      </c>
      <c r="P35" s="68"/>
      <c r="Q35" s="68"/>
    </row>
    <row r="36" hidden="1">
      <c r="A36" s="104">
        <v>417.0</v>
      </c>
      <c r="B36" s="89" t="s">
        <v>11</v>
      </c>
      <c r="C36" s="90"/>
      <c r="D36" s="91"/>
      <c r="E36" s="90"/>
      <c r="F36" s="66" t="s">
        <v>124</v>
      </c>
      <c r="G36" s="92" t="s">
        <v>133</v>
      </c>
      <c r="H36" s="93" t="s">
        <v>134</v>
      </c>
      <c r="I36" s="94" t="s">
        <v>135</v>
      </c>
      <c r="J36" s="62" t="s">
        <v>117</v>
      </c>
      <c r="K36" s="72">
        <v>45790.0</v>
      </c>
      <c r="L36" s="66" t="s">
        <v>118</v>
      </c>
      <c r="M36" s="67"/>
      <c r="N36" s="67">
        <v>75.0</v>
      </c>
      <c r="O36" s="67" t="s">
        <v>136</v>
      </c>
      <c r="P36" s="68"/>
      <c r="Q36" s="68"/>
    </row>
    <row r="37" hidden="1">
      <c r="A37" s="97">
        <v>417.0</v>
      </c>
      <c r="B37" s="96" t="s">
        <v>11</v>
      </c>
      <c r="C37" s="97"/>
      <c r="D37" s="96"/>
      <c r="E37" s="98"/>
      <c r="F37" s="58" t="s">
        <v>137</v>
      </c>
      <c r="G37" s="58" t="s">
        <v>129</v>
      </c>
      <c r="H37" s="86" t="s">
        <v>138</v>
      </c>
      <c r="I37" s="61" t="s">
        <v>139</v>
      </c>
      <c r="J37" s="62" t="s">
        <v>117</v>
      </c>
      <c r="K37" s="63">
        <v>45796.0</v>
      </c>
      <c r="L37" s="62" t="s">
        <v>118</v>
      </c>
      <c r="M37" s="64" t="s">
        <v>140</v>
      </c>
      <c r="N37" s="65">
        <v>6.0</v>
      </c>
      <c r="O37" s="67" t="s">
        <v>141</v>
      </c>
      <c r="P37" s="68"/>
      <c r="Q37" s="68"/>
    </row>
    <row r="38" hidden="1">
      <c r="A38" s="106">
        <v>417.0</v>
      </c>
      <c r="B38" s="82" t="s">
        <v>11</v>
      </c>
      <c r="C38" s="97"/>
      <c r="D38" s="96"/>
      <c r="E38" s="98"/>
      <c r="F38" s="66" t="s">
        <v>124</v>
      </c>
      <c r="G38" s="58" t="s">
        <v>129</v>
      </c>
      <c r="H38" s="86" t="s">
        <v>130</v>
      </c>
      <c r="I38" s="61" t="s">
        <v>142</v>
      </c>
      <c r="J38" s="62" t="s">
        <v>117</v>
      </c>
      <c r="K38" s="63">
        <v>45818.0</v>
      </c>
      <c r="L38" s="99"/>
      <c r="M38" s="64" t="s">
        <v>143</v>
      </c>
      <c r="N38" s="65">
        <v>15.0</v>
      </c>
      <c r="O38" s="67"/>
      <c r="P38" s="68"/>
      <c r="Q38" s="68"/>
    </row>
    <row r="39" hidden="1">
      <c r="A39" s="106">
        <v>417.0</v>
      </c>
      <c r="B39" s="82" t="s">
        <v>11</v>
      </c>
      <c r="C39" s="97"/>
      <c r="D39" s="96"/>
      <c r="E39" s="98"/>
      <c r="F39" s="66" t="s">
        <v>124</v>
      </c>
      <c r="G39" s="66" t="s">
        <v>125</v>
      </c>
      <c r="H39" s="86" t="s">
        <v>130</v>
      </c>
      <c r="I39" s="61" t="s">
        <v>144</v>
      </c>
      <c r="J39" s="62" t="s">
        <v>117</v>
      </c>
      <c r="K39" s="63">
        <v>45818.0</v>
      </c>
      <c r="L39" s="99"/>
      <c r="M39" s="64" t="s">
        <v>145</v>
      </c>
      <c r="N39" s="65">
        <v>5.0</v>
      </c>
      <c r="O39" s="67"/>
      <c r="P39" s="68"/>
      <c r="Q39" s="68"/>
    </row>
    <row r="40" hidden="1">
      <c r="A40" s="106">
        <v>417.0</v>
      </c>
      <c r="B40" s="82" t="s">
        <v>11</v>
      </c>
      <c r="C40" s="97"/>
      <c r="D40" s="96"/>
      <c r="E40" s="98"/>
      <c r="F40" s="66" t="s">
        <v>124</v>
      </c>
      <c r="G40" s="66" t="s">
        <v>125</v>
      </c>
      <c r="H40" s="86" t="s">
        <v>146</v>
      </c>
      <c r="I40" s="61" t="s">
        <v>147</v>
      </c>
      <c r="J40" s="62" t="s">
        <v>117</v>
      </c>
      <c r="K40" s="63">
        <v>45818.0</v>
      </c>
      <c r="L40" s="62" t="s">
        <v>118</v>
      </c>
      <c r="M40" s="64" t="s">
        <v>148</v>
      </c>
      <c r="N40" s="65">
        <v>8.0</v>
      </c>
      <c r="O40" s="67" t="s">
        <v>149</v>
      </c>
      <c r="P40" s="68"/>
      <c r="Q40" s="68"/>
    </row>
    <row r="41">
      <c r="A41" s="109">
        <v>417.0</v>
      </c>
      <c r="B41" s="78" t="s">
        <v>11</v>
      </c>
      <c r="C41" s="101">
        <v>45702.0</v>
      </c>
      <c r="D41" s="56" t="s">
        <v>179</v>
      </c>
      <c r="E41" s="79" t="s">
        <v>123</v>
      </c>
      <c r="F41" s="58" t="s">
        <v>116</v>
      </c>
      <c r="G41" s="59"/>
      <c r="H41" s="60"/>
      <c r="I41" s="61"/>
      <c r="J41" s="62"/>
      <c r="K41" s="63"/>
      <c r="L41" s="62"/>
      <c r="M41" s="64"/>
      <c r="N41" s="102"/>
      <c r="O41" s="67"/>
      <c r="P41" s="68"/>
      <c r="Q41" s="68"/>
    </row>
    <row r="42" hidden="1">
      <c r="A42" s="109">
        <v>418.0</v>
      </c>
      <c r="B42" s="89" t="s">
        <v>11</v>
      </c>
      <c r="C42" s="110"/>
      <c r="D42" s="91"/>
      <c r="E42" s="89"/>
      <c r="F42" s="66" t="s">
        <v>124</v>
      </c>
      <c r="G42" s="66" t="s">
        <v>125</v>
      </c>
      <c r="H42" s="66" t="s">
        <v>126</v>
      </c>
      <c r="I42" s="67" t="s">
        <v>127</v>
      </c>
      <c r="J42" s="62" t="s">
        <v>117</v>
      </c>
      <c r="K42" s="72">
        <v>45737.0</v>
      </c>
      <c r="L42" s="103"/>
      <c r="M42" s="67" t="s">
        <v>180</v>
      </c>
      <c r="N42" s="67">
        <v>13.0</v>
      </c>
      <c r="O42" s="68"/>
      <c r="P42" s="68"/>
      <c r="Q42" s="68"/>
    </row>
    <row r="43" hidden="1">
      <c r="A43" s="106">
        <v>418.0</v>
      </c>
      <c r="B43" s="82" t="s">
        <v>11</v>
      </c>
      <c r="C43" s="83"/>
      <c r="D43" s="84"/>
      <c r="E43" s="83"/>
      <c r="F43" s="66" t="s">
        <v>124</v>
      </c>
      <c r="G43" s="85" t="s">
        <v>129</v>
      </c>
      <c r="H43" s="86" t="s">
        <v>130</v>
      </c>
      <c r="I43" s="87" t="s">
        <v>131</v>
      </c>
      <c r="J43" s="62" t="s">
        <v>117</v>
      </c>
      <c r="K43" s="63">
        <v>45789.0</v>
      </c>
      <c r="L43" s="75"/>
      <c r="M43" s="68"/>
      <c r="N43" s="65">
        <v>25.0</v>
      </c>
      <c r="O43" s="67" t="s">
        <v>165</v>
      </c>
      <c r="P43" s="68"/>
      <c r="Q43" s="68"/>
    </row>
    <row r="44" hidden="1">
      <c r="A44" s="104">
        <v>418.0</v>
      </c>
      <c r="B44" s="89" t="s">
        <v>11</v>
      </c>
      <c r="C44" s="90"/>
      <c r="D44" s="91"/>
      <c r="E44" s="90"/>
      <c r="F44" s="66" t="s">
        <v>124</v>
      </c>
      <c r="G44" s="92" t="s">
        <v>133</v>
      </c>
      <c r="H44" s="93" t="s">
        <v>134</v>
      </c>
      <c r="I44" s="94" t="s">
        <v>135</v>
      </c>
      <c r="J44" s="62" t="s">
        <v>117</v>
      </c>
      <c r="K44" s="72">
        <v>45790.0</v>
      </c>
      <c r="L44" s="66" t="s">
        <v>118</v>
      </c>
      <c r="M44" s="67"/>
      <c r="N44" s="67">
        <v>75.0</v>
      </c>
      <c r="O44" s="67" t="s">
        <v>136</v>
      </c>
      <c r="P44" s="68"/>
      <c r="Q44" s="68"/>
    </row>
    <row r="45" hidden="1">
      <c r="A45" s="97">
        <v>418.0</v>
      </c>
      <c r="B45" s="96" t="s">
        <v>11</v>
      </c>
      <c r="C45" s="97"/>
      <c r="D45" s="96"/>
      <c r="E45" s="98"/>
      <c r="F45" s="58" t="s">
        <v>137</v>
      </c>
      <c r="G45" s="58" t="s">
        <v>129</v>
      </c>
      <c r="H45" s="86" t="s">
        <v>138</v>
      </c>
      <c r="I45" s="61" t="s">
        <v>139</v>
      </c>
      <c r="J45" s="62" t="s">
        <v>117</v>
      </c>
      <c r="K45" s="63">
        <v>45796.0</v>
      </c>
      <c r="L45" s="62" t="s">
        <v>118</v>
      </c>
      <c r="M45" s="64" t="s">
        <v>140</v>
      </c>
      <c r="N45" s="65">
        <v>6.0</v>
      </c>
      <c r="O45" s="67" t="s">
        <v>141</v>
      </c>
      <c r="P45" s="68"/>
      <c r="Q45" s="68"/>
    </row>
    <row r="46" hidden="1">
      <c r="A46" s="97">
        <v>418.0</v>
      </c>
      <c r="B46" s="96" t="s">
        <v>11</v>
      </c>
      <c r="C46" s="97"/>
      <c r="D46" s="96"/>
      <c r="E46" s="98"/>
      <c r="F46" s="58" t="s">
        <v>137</v>
      </c>
      <c r="G46" s="66" t="s">
        <v>125</v>
      </c>
      <c r="H46" s="114" t="s">
        <v>181</v>
      </c>
      <c r="I46" s="115" t="s">
        <v>89</v>
      </c>
      <c r="J46" s="62" t="s">
        <v>162</v>
      </c>
      <c r="K46" s="63"/>
      <c r="L46" s="99"/>
      <c r="M46" s="64"/>
      <c r="N46" s="65"/>
      <c r="O46" s="67"/>
      <c r="P46" s="68"/>
      <c r="Q46" s="68"/>
    </row>
    <row r="47" hidden="1">
      <c r="A47" s="97">
        <v>418.0</v>
      </c>
      <c r="B47" s="96" t="s">
        <v>11</v>
      </c>
      <c r="C47" s="97"/>
      <c r="D47" s="96"/>
      <c r="E47" s="98"/>
      <c r="F47" s="58" t="s">
        <v>137</v>
      </c>
      <c r="G47" s="58" t="s">
        <v>129</v>
      </c>
      <c r="H47" s="116" t="s">
        <v>182</v>
      </c>
      <c r="I47" s="112" t="s">
        <v>66</v>
      </c>
      <c r="J47" s="62" t="s">
        <v>162</v>
      </c>
      <c r="K47" s="63"/>
      <c r="L47" s="99"/>
      <c r="M47" s="64"/>
      <c r="N47" s="65"/>
      <c r="O47" s="67"/>
      <c r="P47" s="68"/>
      <c r="Q47" s="68"/>
    </row>
    <row r="48" hidden="1">
      <c r="A48" s="106">
        <v>418.0</v>
      </c>
      <c r="B48" s="82" t="s">
        <v>11</v>
      </c>
      <c r="C48" s="97"/>
      <c r="D48" s="96"/>
      <c r="E48" s="98"/>
      <c r="F48" s="66" t="s">
        <v>124</v>
      </c>
      <c r="G48" s="58" t="s">
        <v>129</v>
      </c>
      <c r="H48" s="86" t="s">
        <v>130</v>
      </c>
      <c r="I48" s="61" t="s">
        <v>142</v>
      </c>
      <c r="J48" s="62" t="s">
        <v>117</v>
      </c>
      <c r="K48" s="63">
        <v>45818.0</v>
      </c>
      <c r="L48" s="99"/>
      <c r="M48" s="64" t="s">
        <v>143</v>
      </c>
      <c r="N48" s="65">
        <v>15.0</v>
      </c>
      <c r="O48" s="67"/>
      <c r="P48" s="68"/>
      <c r="Q48" s="68"/>
    </row>
    <row r="49" hidden="1">
      <c r="A49" s="106">
        <v>418.0</v>
      </c>
      <c r="B49" s="82" t="s">
        <v>11</v>
      </c>
      <c r="C49" s="97"/>
      <c r="D49" s="96"/>
      <c r="E49" s="98"/>
      <c r="F49" s="66" t="s">
        <v>124</v>
      </c>
      <c r="G49" s="66" t="s">
        <v>125</v>
      </c>
      <c r="H49" s="86" t="s">
        <v>130</v>
      </c>
      <c r="I49" s="61" t="s">
        <v>144</v>
      </c>
      <c r="J49" s="62" t="s">
        <v>117</v>
      </c>
      <c r="K49" s="63">
        <v>45818.0</v>
      </c>
      <c r="L49" s="99"/>
      <c r="M49" s="64" t="s">
        <v>145</v>
      </c>
      <c r="N49" s="65">
        <v>5.0</v>
      </c>
      <c r="O49" s="67"/>
      <c r="P49" s="68"/>
      <c r="Q49" s="68"/>
    </row>
    <row r="50" hidden="1">
      <c r="A50" s="106">
        <v>418.0</v>
      </c>
      <c r="B50" s="82" t="s">
        <v>11</v>
      </c>
      <c r="C50" s="97"/>
      <c r="D50" s="96"/>
      <c r="E50" s="98"/>
      <c r="F50" s="66" t="s">
        <v>124</v>
      </c>
      <c r="G50" s="66" t="s">
        <v>125</v>
      </c>
      <c r="H50" s="86" t="s">
        <v>146</v>
      </c>
      <c r="I50" s="61" t="s">
        <v>147</v>
      </c>
      <c r="J50" s="62" t="s">
        <v>117</v>
      </c>
      <c r="K50" s="63">
        <v>45818.0</v>
      </c>
      <c r="L50" s="62" t="s">
        <v>118</v>
      </c>
      <c r="M50" s="64" t="s">
        <v>148</v>
      </c>
      <c r="N50" s="65">
        <v>8.0</v>
      </c>
      <c r="O50" s="67" t="s">
        <v>149</v>
      </c>
      <c r="P50" s="68"/>
      <c r="Q50" s="68"/>
    </row>
    <row r="51">
      <c r="A51" s="109">
        <v>418.0</v>
      </c>
      <c r="B51" s="78" t="s">
        <v>11</v>
      </c>
      <c r="C51" s="101">
        <v>45702.0</v>
      </c>
      <c r="D51" s="56" t="s">
        <v>183</v>
      </c>
      <c r="E51" s="79" t="s">
        <v>123</v>
      </c>
      <c r="F51" s="58" t="s">
        <v>116</v>
      </c>
      <c r="G51" s="59"/>
      <c r="H51" s="60"/>
      <c r="I51" s="61"/>
      <c r="J51" s="62"/>
      <c r="K51" s="63"/>
      <c r="L51" s="62"/>
      <c r="M51" s="64"/>
      <c r="N51" s="102"/>
      <c r="O51" s="67"/>
      <c r="P51" s="68"/>
      <c r="Q51" s="68"/>
    </row>
    <row r="52" hidden="1">
      <c r="A52" s="100">
        <v>419.0</v>
      </c>
      <c r="B52" s="78" t="s">
        <v>11</v>
      </c>
      <c r="C52" s="55"/>
      <c r="D52" s="56" t="s">
        <v>122</v>
      </c>
      <c r="E52" s="79" t="s">
        <v>123</v>
      </c>
      <c r="F52" s="66" t="s">
        <v>124</v>
      </c>
      <c r="G52" s="66" t="s">
        <v>125</v>
      </c>
      <c r="H52" s="66" t="s">
        <v>126</v>
      </c>
      <c r="I52" s="67" t="s">
        <v>127</v>
      </c>
      <c r="J52" s="62" t="s">
        <v>117</v>
      </c>
      <c r="K52" s="72">
        <v>45736.0</v>
      </c>
      <c r="L52" s="103"/>
      <c r="M52" s="67" t="s">
        <v>176</v>
      </c>
      <c r="N52" s="67">
        <v>12.0</v>
      </c>
      <c r="O52" s="68"/>
      <c r="P52" s="68"/>
      <c r="Q52" s="68"/>
    </row>
    <row r="53" hidden="1">
      <c r="A53" s="109">
        <v>419.0</v>
      </c>
      <c r="B53" s="89" t="s">
        <v>11</v>
      </c>
      <c r="C53" s="110"/>
      <c r="D53" s="91"/>
      <c r="E53" s="89"/>
      <c r="F53" s="58" t="s">
        <v>137</v>
      </c>
      <c r="G53" s="92" t="s">
        <v>129</v>
      </c>
      <c r="H53" s="92" t="s">
        <v>138</v>
      </c>
      <c r="I53" s="87" t="s">
        <v>184</v>
      </c>
      <c r="J53" s="62" t="s">
        <v>117</v>
      </c>
      <c r="K53" s="72">
        <v>45756.0</v>
      </c>
      <c r="L53" s="103"/>
      <c r="M53" s="67" t="s">
        <v>185</v>
      </c>
      <c r="N53" s="67">
        <v>33.0</v>
      </c>
      <c r="O53" s="67" t="s">
        <v>186</v>
      </c>
      <c r="P53" s="105"/>
      <c r="Q53" s="105"/>
    </row>
    <row r="54" hidden="1">
      <c r="A54" s="106">
        <v>419.0</v>
      </c>
      <c r="B54" s="82" t="s">
        <v>11</v>
      </c>
      <c r="C54" s="83"/>
      <c r="D54" s="84"/>
      <c r="E54" s="83"/>
      <c r="F54" s="66" t="s">
        <v>124</v>
      </c>
      <c r="G54" s="85" t="s">
        <v>129</v>
      </c>
      <c r="H54" s="86" t="s">
        <v>130</v>
      </c>
      <c r="I54" s="87" t="s">
        <v>131</v>
      </c>
      <c r="J54" s="62" t="s">
        <v>117</v>
      </c>
      <c r="K54" s="63">
        <v>45789.0</v>
      </c>
      <c r="L54" s="75"/>
      <c r="M54" s="68"/>
      <c r="N54" s="65">
        <v>25.0</v>
      </c>
      <c r="O54" s="67" t="s">
        <v>165</v>
      </c>
      <c r="P54" s="68"/>
      <c r="Q54" s="68"/>
    </row>
    <row r="55" hidden="1">
      <c r="A55" s="104">
        <v>419.0</v>
      </c>
      <c r="B55" s="89" t="s">
        <v>11</v>
      </c>
      <c r="C55" s="90"/>
      <c r="D55" s="91"/>
      <c r="E55" s="90"/>
      <c r="F55" s="66" t="s">
        <v>124</v>
      </c>
      <c r="G55" s="92" t="s">
        <v>133</v>
      </c>
      <c r="H55" s="93" t="s">
        <v>134</v>
      </c>
      <c r="I55" s="94" t="s">
        <v>135</v>
      </c>
      <c r="J55" s="62" t="s">
        <v>117</v>
      </c>
      <c r="K55" s="72">
        <v>45790.0</v>
      </c>
      <c r="L55" s="66" t="s">
        <v>118</v>
      </c>
      <c r="M55" s="67"/>
      <c r="N55" s="67">
        <v>75.0</v>
      </c>
      <c r="O55" s="67" t="s">
        <v>136</v>
      </c>
      <c r="P55" s="68"/>
      <c r="Q55" s="68"/>
    </row>
    <row r="56" hidden="1">
      <c r="A56" s="97">
        <v>419.0</v>
      </c>
      <c r="B56" s="96" t="s">
        <v>11</v>
      </c>
      <c r="C56" s="97"/>
      <c r="D56" s="96"/>
      <c r="E56" s="98"/>
      <c r="F56" s="58" t="s">
        <v>137</v>
      </c>
      <c r="G56" s="58" t="s">
        <v>129</v>
      </c>
      <c r="H56" s="86" t="s">
        <v>138</v>
      </c>
      <c r="I56" s="61" t="s">
        <v>139</v>
      </c>
      <c r="J56" s="62" t="s">
        <v>162</v>
      </c>
      <c r="K56" s="63"/>
      <c r="L56" s="99"/>
      <c r="M56" s="64"/>
      <c r="N56" s="102"/>
      <c r="O56" s="67"/>
      <c r="P56" s="68"/>
      <c r="Q56" s="68"/>
    </row>
    <row r="57" hidden="1">
      <c r="A57" s="106">
        <v>419.0</v>
      </c>
      <c r="B57" s="82" t="s">
        <v>11</v>
      </c>
      <c r="C57" s="97"/>
      <c r="D57" s="96"/>
      <c r="E57" s="98"/>
      <c r="F57" s="66" t="s">
        <v>124</v>
      </c>
      <c r="G57" s="58" t="s">
        <v>129</v>
      </c>
      <c r="H57" s="86" t="s">
        <v>130</v>
      </c>
      <c r="I57" s="61" t="s">
        <v>142</v>
      </c>
      <c r="J57" s="62" t="s">
        <v>117</v>
      </c>
      <c r="K57" s="63">
        <v>45818.0</v>
      </c>
      <c r="L57" s="99"/>
      <c r="M57" s="64" t="s">
        <v>143</v>
      </c>
      <c r="N57" s="65">
        <v>15.0</v>
      </c>
      <c r="O57" s="67"/>
      <c r="P57" s="68"/>
      <c r="Q57" s="68"/>
    </row>
    <row r="58" hidden="1">
      <c r="A58" s="106">
        <v>419.0</v>
      </c>
      <c r="B58" s="82" t="s">
        <v>11</v>
      </c>
      <c r="C58" s="97"/>
      <c r="D58" s="96"/>
      <c r="E58" s="98"/>
      <c r="F58" s="66" t="s">
        <v>124</v>
      </c>
      <c r="G58" s="66" t="s">
        <v>125</v>
      </c>
      <c r="H58" s="86" t="s">
        <v>130</v>
      </c>
      <c r="I58" s="61" t="s">
        <v>144</v>
      </c>
      <c r="J58" s="62" t="s">
        <v>117</v>
      </c>
      <c r="K58" s="63">
        <v>45818.0</v>
      </c>
      <c r="L58" s="99"/>
      <c r="M58" s="64" t="s">
        <v>145</v>
      </c>
      <c r="N58" s="65">
        <v>5.0</v>
      </c>
      <c r="O58" s="67"/>
      <c r="P58" s="68"/>
      <c r="Q58" s="68"/>
    </row>
    <row r="59" hidden="1">
      <c r="A59" s="106">
        <v>419.0</v>
      </c>
      <c r="B59" s="82" t="s">
        <v>11</v>
      </c>
      <c r="C59" s="97"/>
      <c r="D59" s="96"/>
      <c r="E59" s="98"/>
      <c r="F59" s="66" t="s">
        <v>124</v>
      </c>
      <c r="G59" s="66" t="s">
        <v>125</v>
      </c>
      <c r="H59" s="86" t="s">
        <v>146</v>
      </c>
      <c r="I59" s="61" t="s">
        <v>147</v>
      </c>
      <c r="J59" s="62" t="s">
        <v>117</v>
      </c>
      <c r="K59" s="63">
        <v>45818.0</v>
      </c>
      <c r="L59" s="62" t="s">
        <v>118</v>
      </c>
      <c r="M59" s="64" t="s">
        <v>148</v>
      </c>
      <c r="N59" s="65">
        <v>8.0</v>
      </c>
      <c r="O59" s="67" t="s">
        <v>149</v>
      </c>
      <c r="P59" s="68"/>
      <c r="Q59" s="68"/>
    </row>
    <row r="60">
      <c r="A60" s="100">
        <v>419.0</v>
      </c>
      <c r="B60" s="78" t="s">
        <v>11</v>
      </c>
      <c r="C60" s="101">
        <v>45702.0</v>
      </c>
      <c r="D60" s="56" t="s">
        <v>187</v>
      </c>
      <c r="E60" s="79" t="s">
        <v>123</v>
      </c>
      <c r="F60" s="58" t="s">
        <v>116</v>
      </c>
      <c r="G60" s="59"/>
      <c r="H60" s="60"/>
      <c r="I60" s="61"/>
      <c r="J60" s="62"/>
      <c r="K60" s="63"/>
      <c r="L60" s="62"/>
      <c r="M60" s="64"/>
      <c r="N60" s="102"/>
      <c r="O60" s="67"/>
      <c r="P60" s="68"/>
      <c r="Q60" s="68"/>
    </row>
    <row r="61" hidden="1">
      <c r="A61" s="100">
        <v>420.0</v>
      </c>
      <c r="B61" s="78" t="s">
        <v>11</v>
      </c>
      <c r="C61" s="55"/>
      <c r="D61" s="56" t="s">
        <v>122</v>
      </c>
      <c r="E61" s="79" t="s">
        <v>123</v>
      </c>
      <c r="F61" s="66" t="s">
        <v>124</v>
      </c>
      <c r="G61" s="66" t="s">
        <v>125</v>
      </c>
      <c r="H61" s="66" t="s">
        <v>126</v>
      </c>
      <c r="I61" s="67" t="s">
        <v>127</v>
      </c>
      <c r="J61" s="62" t="s">
        <v>117</v>
      </c>
      <c r="K61" s="72">
        <v>45736.0</v>
      </c>
      <c r="L61" s="103"/>
      <c r="M61" s="67" t="s">
        <v>188</v>
      </c>
      <c r="N61" s="67">
        <v>16.0</v>
      </c>
      <c r="O61" s="68"/>
      <c r="P61" s="68"/>
      <c r="Q61" s="68"/>
    </row>
    <row r="62" hidden="1">
      <c r="A62" s="104">
        <v>420.0</v>
      </c>
      <c r="B62" s="89" t="s">
        <v>11</v>
      </c>
      <c r="C62" s="90"/>
      <c r="D62" s="91"/>
      <c r="E62" s="90"/>
      <c r="F62" s="58" t="s">
        <v>137</v>
      </c>
      <c r="G62" s="93" t="s">
        <v>156</v>
      </c>
      <c r="H62" s="93" t="s">
        <v>157</v>
      </c>
      <c r="I62" s="94" t="s">
        <v>156</v>
      </c>
      <c r="J62" s="62" t="s">
        <v>117</v>
      </c>
      <c r="K62" s="72">
        <v>45777.0</v>
      </c>
      <c r="L62" s="103"/>
      <c r="M62" s="67" t="s">
        <v>158</v>
      </c>
      <c r="N62" s="67">
        <v>10.0</v>
      </c>
      <c r="O62" s="67" t="s">
        <v>159</v>
      </c>
      <c r="P62" s="105"/>
      <c r="Q62" s="105"/>
    </row>
    <row r="63" hidden="1">
      <c r="A63" s="104">
        <v>420.0</v>
      </c>
      <c r="B63" s="89" t="s">
        <v>11</v>
      </c>
      <c r="C63" s="90"/>
      <c r="D63" s="91"/>
      <c r="E63" s="90"/>
      <c r="F63" s="58" t="s">
        <v>137</v>
      </c>
      <c r="G63" s="92" t="s">
        <v>133</v>
      </c>
      <c r="H63" s="93" t="s">
        <v>181</v>
      </c>
      <c r="I63" s="94" t="s">
        <v>189</v>
      </c>
      <c r="J63" s="62" t="s">
        <v>117</v>
      </c>
      <c r="K63" s="72">
        <v>45778.0</v>
      </c>
      <c r="L63" s="103"/>
      <c r="M63" s="67" t="s">
        <v>190</v>
      </c>
      <c r="N63" s="67">
        <v>10.0</v>
      </c>
      <c r="O63" s="68"/>
      <c r="P63" s="68"/>
      <c r="Q63" s="68"/>
    </row>
    <row r="64" hidden="1">
      <c r="A64" s="106">
        <v>420.0</v>
      </c>
      <c r="B64" s="82" t="s">
        <v>11</v>
      </c>
      <c r="C64" s="83"/>
      <c r="D64" s="84"/>
      <c r="E64" s="83"/>
      <c r="F64" s="66" t="s">
        <v>124</v>
      </c>
      <c r="G64" s="85" t="s">
        <v>129</v>
      </c>
      <c r="H64" s="86" t="s">
        <v>130</v>
      </c>
      <c r="I64" s="87" t="s">
        <v>131</v>
      </c>
      <c r="J64" s="62" t="s">
        <v>117</v>
      </c>
      <c r="K64" s="63">
        <v>45789.0</v>
      </c>
      <c r="L64" s="75"/>
      <c r="M64" s="68"/>
      <c r="N64" s="65">
        <v>25.0</v>
      </c>
      <c r="O64" s="67" t="s">
        <v>165</v>
      </c>
      <c r="P64" s="68"/>
      <c r="Q64" s="68"/>
    </row>
    <row r="65" hidden="1">
      <c r="A65" s="104">
        <v>420.0</v>
      </c>
      <c r="B65" s="89" t="s">
        <v>11</v>
      </c>
      <c r="C65" s="90"/>
      <c r="D65" s="91"/>
      <c r="E65" s="90"/>
      <c r="F65" s="66" t="s">
        <v>124</v>
      </c>
      <c r="G65" s="92" t="s">
        <v>133</v>
      </c>
      <c r="H65" s="93" t="s">
        <v>134</v>
      </c>
      <c r="I65" s="94" t="s">
        <v>135</v>
      </c>
      <c r="J65" s="62" t="s">
        <v>117</v>
      </c>
      <c r="K65" s="72">
        <v>45790.0</v>
      </c>
      <c r="L65" s="103"/>
      <c r="M65" s="67"/>
      <c r="N65" s="67">
        <v>75.0</v>
      </c>
      <c r="O65" s="67" t="s">
        <v>136</v>
      </c>
      <c r="P65" s="68"/>
      <c r="Q65" s="68"/>
    </row>
    <row r="66" hidden="1">
      <c r="A66" s="97">
        <v>420.0</v>
      </c>
      <c r="B66" s="96" t="s">
        <v>11</v>
      </c>
      <c r="C66" s="97"/>
      <c r="D66" s="96"/>
      <c r="E66" s="98"/>
      <c r="F66" s="58" t="s">
        <v>137</v>
      </c>
      <c r="G66" s="58" t="s">
        <v>129</v>
      </c>
      <c r="H66" s="86" t="s">
        <v>138</v>
      </c>
      <c r="I66" s="61" t="s">
        <v>139</v>
      </c>
      <c r="J66" s="62" t="s">
        <v>162</v>
      </c>
      <c r="K66" s="63"/>
      <c r="L66" s="99"/>
      <c r="M66" s="64"/>
      <c r="N66" s="102"/>
      <c r="O66" s="67"/>
      <c r="P66" s="68"/>
      <c r="Q66" s="68"/>
    </row>
    <row r="67" hidden="1">
      <c r="A67" s="97">
        <v>420.0</v>
      </c>
      <c r="B67" s="96" t="s">
        <v>11</v>
      </c>
      <c r="C67" s="97"/>
      <c r="D67" s="96"/>
      <c r="E67" s="98"/>
      <c r="F67" s="58" t="s">
        <v>137</v>
      </c>
      <c r="G67" s="66" t="s">
        <v>125</v>
      </c>
      <c r="H67" s="86" t="s">
        <v>134</v>
      </c>
      <c r="I67" s="61" t="s">
        <v>191</v>
      </c>
      <c r="J67" s="62" t="s">
        <v>117</v>
      </c>
      <c r="K67" s="63">
        <v>45806.0</v>
      </c>
      <c r="L67" s="62" t="s">
        <v>118</v>
      </c>
      <c r="M67" s="64" t="s">
        <v>192</v>
      </c>
      <c r="N67" s="65">
        <v>35.0</v>
      </c>
      <c r="O67" s="67"/>
      <c r="P67" s="68"/>
      <c r="Q67" s="68"/>
    </row>
    <row r="68" hidden="1">
      <c r="A68" s="97">
        <v>420.0</v>
      </c>
      <c r="B68" s="96" t="s">
        <v>11</v>
      </c>
      <c r="C68" s="97"/>
      <c r="D68" s="96"/>
      <c r="E68" s="98"/>
      <c r="F68" s="58" t="s">
        <v>137</v>
      </c>
      <c r="G68" s="66" t="s">
        <v>125</v>
      </c>
      <c r="H68" s="86" t="s">
        <v>146</v>
      </c>
      <c r="I68" s="112" t="s">
        <v>91</v>
      </c>
      <c r="J68" s="62" t="s">
        <v>162</v>
      </c>
      <c r="K68" s="63"/>
      <c r="L68" s="99"/>
      <c r="M68" s="64"/>
      <c r="N68" s="102"/>
      <c r="O68" s="67"/>
      <c r="P68" s="68"/>
      <c r="Q68" s="68"/>
    </row>
    <row r="69" hidden="1">
      <c r="A69" s="106">
        <v>420.0</v>
      </c>
      <c r="B69" s="82" t="s">
        <v>11</v>
      </c>
      <c r="C69" s="97"/>
      <c r="D69" s="96"/>
      <c r="E69" s="98"/>
      <c r="F69" s="66" t="s">
        <v>124</v>
      </c>
      <c r="G69" s="58" t="s">
        <v>129</v>
      </c>
      <c r="H69" s="86" t="s">
        <v>130</v>
      </c>
      <c r="I69" s="61" t="s">
        <v>142</v>
      </c>
      <c r="J69" s="62" t="s">
        <v>117</v>
      </c>
      <c r="K69" s="63">
        <v>45818.0</v>
      </c>
      <c r="L69" s="99"/>
      <c r="M69" s="64" t="s">
        <v>143</v>
      </c>
      <c r="N69" s="65">
        <v>15.0</v>
      </c>
      <c r="O69" s="67"/>
      <c r="P69" s="68"/>
      <c r="Q69" s="68"/>
    </row>
    <row r="70" hidden="1">
      <c r="A70" s="106">
        <v>420.0</v>
      </c>
      <c r="B70" s="82" t="s">
        <v>11</v>
      </c>
      <c r="C70" s="97"/>
      <c r="D70" s="96"/>
      <c r="E70" s="98"/>
      <c r="F70" s="66" t="s">
        <v>124</v>
      </c>
      <c r="G70" s="66" t="s">
        <v>125</v>
      </c>
      <c r="H70" s="86" t="s">
        <v>130</v>
      </c>
      <c r="I70" s="61" t="s">
        <v>144</v>
      </c>
      <c r="J70" s="62" t="s">
        <v>117</v>
      </c>
      <c r="K70" s="63">
        <v>45818.0</v>
      </c>
      <c r="L70" s="99"/>
      <c r="M70" s="64" t="s">
        <v>145</v>
      </c>
      <c r="N70" s="65">
        <v>5.0</v>
      </c>
      <c r="O70" s="67"/>
      <c r="P70" s="68"/>
      <c r="Q70" s="68"/>
    </row>
    <row r="71" hidden="1">
      <c r="A71" s="106">
        <v>420.0</v>
      </c>
      <c r="B71" s="82" t="s">
        <v>11</v>
      </c>
      <c r="C71" s="97"/>
      <c r="D71" s="96"/>
      <c r="E71" s="98"/>
      <c r="F71" s="66" t="s">
        <v>124</v>
      </c>
      <c r="G71" s="66" t="s">
        <v>125</v>
      </c>
      <c r="H71" s="86" t="s">
        <v>146</v>
      </c>
      <c r="I71" s="61" t="s">
        <v>147</v>
      </c>
      <c r="J71" s="62" t="s">
        <v>117</v>
      </c>
      <c r="K71" s="63">
        <v>45818.0</v>
      </c>
      <c r="L71" s="62" t="s">
        <v>118</v>
      </c>
      <c r="M71" s="64" t="s">
        <v>148</v>
      </c>
      <c r="N71" s="65">
        <v>8.0</v>
      </c>
      <c r="O71" s="67" t="s">
        <v>149</v>
      </c>
      <c r="P71" s="68"/>
      <c r="Q71" s="68"/>
    </row>
    <row r="72">
      <c r="A72" s="100">
        <v>420.0</v>
      </c>
      <c r="B72" s="78" t="s">
        <v>11</v>
      </c>
      <c r="C72" s="101">
        <v>45702.0</v>
      </c>
      <c r="D72" s="56" t="s">
        <v>193</v>
      </c>
      <c r="E72" s="79" t="s">
        <v>123</v>
      </c>
      <c r="F72" s="58" t="s">
        <v>116</v>
      </c>
      <c r="G72" s="59"/>
      <c r="H72" s="60"/>
      <c r="I72" s="61"/>
      <c r="J72" s="62"/>
      <c r="K72" s="63"/>
      <c r="L72" s="62"/>
      <c r="M72" s="64"/>
      <c r="N72" s="102"/>
      <c r="O72" s="67"/>
      <c r="P72" s="68"/>
      <c r="Q72" s="68"/>
    </row>
    <row r="73" hidden="1">
      <c r="A73" s="100">
        <v>421.0</v>
      </c>
      <c r="B73" s="78" t="s">
        <v>11</v>
      </c>
      <c r="C73" s="55"/>
      <c r="D73" s="56" t="s">
        <v>122</v>
      </c>
      <c r="E73" s="79" t="s">
        <v>123</v>
      </c>
      <c r="F73" s="66" t="s">
        <v>124</v>
      </c>
      <c r="G73" s="66" t="s">
        <v>125</v>
      </c>
      <c r="H73" s="66" t="s">
        <v>126</v>
      </c>
      <c r="I73" s="67" t="s">
        <v>127</v>
      </c>
      <c r="J73" s="62" t="s">
        <v>117</v>
      </c>
      <c r="K73" s="72">
        <v>45736.0</v>
      </c>
      <c r="L73" s="103"/>
      <c r="M73" s="67" t="s">
        <v>151</v>
      </c>
      <c r="N73" s="67">
        <v>15.0</v>
      </c>
      <c r="O73" s="68"/>
      <c r="P73" s="68"/>
      <c r="Q73" s="68"/>
    </row>
    <row r="74" hidden="1">
      <c r="A74" s="104">
        <v>421.0</v>
      </c>
      <c r="B74" s="90" t="s">
        <v>11</v>
      </c>
      <c r="C74" s="90"/>
      <c r="D74" s="91"/>
      <c r="E74" s="89"/>
      <c r="F74" s="58" t="s">
        <v>137</v>
      </c>
      <c r="G74" s="93" t="s">
        <v>194</v>
      </c>
      <c r="H74" s="92" t="s">
        <v>195</v>
      </c>
      <c r="I74" s="87" t="s">
        <v>196</v>
      </c>
      <c r="J74" s="62" t="s">
        <v>117</v>
      </c>
      <c r="K74" s="72">
        <v>45755.0</v>
      </c>
      <c r="L74" s="103"/>
      <c r="M74" s="67" t="s">
        <v>197</v>
      </c>
      <c r="N74" s="67">
        <v>22.0</v>
      </c>
      <c r="O74" s="67" t="s">
        <v>198</v>
      </c>
      <c r="P74" s="105"/>
      <c r="Q74" s="105"/>
    </row>
    <row r="75" hidden="1">
      <c r="A75" s="106">
        <v>421.0</v>
      </c>
      <c r="B75" s="82" t="s">
        <v>11</v>
      </c>
      <c r="C75" s="83"/>
      <c r="D75" s="84"/>
      <c r="E75" s="83"/>
      <c r="F75" s="66" t="s">
        <v>124</v>
      </c>
      <c r="G75" s="85" t="s">
        <v>129</v>
      </c>
      <c r="H75" s="86" t="s">
        <v>130</v>
      </c>
      <c r="I75" s="87" t="s">
        <v>131</v>
      </c>
      <c r="J75" s="62" t="s">
        <v>117</v>
      </c>
      <c r="K75" s="63">
        <v>45789.0</v>
      </c>
      <c r="L75" s="75"/>
      <c r="M75" s="68"/>
      <c r="N75" s="65">
        <v>25.0</v>
      </c>
      <c r="O75" s="67" t="s">
        <v>165</v>
      </c>
      <c r="P75" s="68"/>
      <c r="Q75" s="68"/>
    </row>
    <row r="76" hidden="1">
      <c r="A76" s="104">
        <v>421.0</v>
      </c>
      <c r="B76" s="89" t="s">
        <v>11</v>
      </c>
      <c r="C76" s="90"/>
      <c r="D76" s="91"/>
      <c r="E76" s="90"/>
      <c r="F76" s="66" t="s">
        <v>124</v>
      </c>
      <c r="G76" s="92" t="s">
        <v>133</v>
      </c>
      <c r="H76" s="93" t="s">
        <v>134</v>
      </c>
      <c r="I76" s="94" t="s">
        <v>135</v>
      </c>
      <c r="J76" s="62" t="s">
        <v>117</v>
      </c>
      <c r="K76" s="72">
        <v>45790.0</v>
      </c>
      <c r="L76" s="66" t="s">
        <v>118</v>
      </c>
      <c r="M76" s="67"/>
      <c r="N76" s="67">
        <v>75.0</v>
      </c>
      <c r="O76" s="67" t="s">
        <v>136</v>
      </c>
      <c r="P76" s="68"/>
      <c r="Q76" s="68"/>
    </row>
    <row r="77" hidden="1">
      <c r="A77" s="97">
        <v>421.0</v>
      </c>
      <c r="B77" s="96" t="s">
        <v>11</v>
      </c>
      <c r="C77" s="97"/>
      <c r="D77" s="96"/>
      <c r="E77" s="98"/>
      <c r="F77" s="58" t="s">
        <v>137</v>
      </c>
      <c r="G77" s="58" t="s">
        <v>129</v>
      </c>
      <c r="H77" s="86" t="s">
        <v>138</v>
      </c>
      <c r="I77" s="61" t="s">
        <v>139</v>
      </c>
      <c r="J77" s="62" t="s">
        <v>117</v>
      </c>
      <c r="K77" s="63">
        <v>45796.0</v>
      </c>
      <c r="L77" s="62" t="s">
        <v>118</v>
      </c>
      <c r="M77" s="64" t="s">
        <v>140</v>
      </c>
      <c r="N77" s="65">
        <v>6.0</v>
      </c>
      <c r="O77" s="67" t="s">
        <v>141</v>
      </c>
      <c r="P77" s="68"/>
      <c r="Q77" s="68"/>
    </row>
    <row r="78" hidden="1">
      <c r="A78" s="106">
        <v>421.0</v>
      </c>
      <c r="B78" s="82" t="s">
        <v>11</v>
      </c>
      <c r="C78" s="97"/>
      <c r="D78" s="96"/>
      <c r="E78" s="98"/>
      <c r="F78" s="66" t="s">
        <v>124</v>
      </c>
      <c r="G78" s="58" t="s">
        <v>129</v>
      </c>
      <c r="H78" s="86" t="s">
        <v>130</v>
      </c>
      <c r="I78" s="61" t="s">
        <v>142</v>
      </c>
      <c r="J78" s="62" t="s">
        <v>117</v>
      </c>
      <c r="K78" s="63">
        <v>45818.0</v>
      </c>
      <c r="L78" s="99"/>
      <c r="M78" s="64" t="s">
        <v>143</v>
      </c>
      <c r="N78" s="65">
        <v>15.0</v>
      </c>
      <c r="O78" s="67"/>
      <c r="P78" s="68"/>
      <c r="Q78" s="68"/>
    </row>
    <row r="79" hidden="1">
      <c r="A79" s="106">
        <v>421.0</v>
      </c>
      <c r="B79" s="82" t="s">
        <v>11</v>
      </c>
      <c r="C79" s="97"/>
      <c r="D79" s="96"/>
      <c r="E79" s="98"/>
      <c r="F79" s="66" t="s">
        <v>124</v>
      </c>
      <c r="G79" s="66" t="s">
        <v>125</v>
      </c>
      <c r="H79" s="86" t="s">
        <v>130</v>
      </c>
      <c r="I79" s="61" t="s">
        <v>144</v>
      </c>
      <c r="J79" s="62" t="s">
        <v>117</v>
      </c>
      <c r="K79" s="63">
        <v>45818.0</v>
      </c>
      <c r="L79" s="99"/>
      <c r="M79" s="64" t="s">
        <v>145</v>
      </c>
      <c r="N79" s="65">
        <v>5.0</v>
      </c>
      <c r="O79" s="67"/>
      <c r="P79" s="68"/>
      <c r="Q79" s="68"/>
    </row>
    <row r="80" hidden="1">
      <c r="A80" s="106">
        <v>421.0</v>
      </c>
      <c r="B80" s="82" t="s">
        <v>11</v>
      </c>
      <c r="C80" s="97"/>
      <c r="D80" s="96"/>
      <c r="E80" s="98"/>
      <c r="F80" s="66" t="s">
        <v>124</v>
      </c>
      <c r="G80" s="66" t="s">
        <v>125</v>
      </c>
      <c r="H80" s="86" t="s">
        <v>146</v>
      </c>
      <c r="I80" s="61" t="s">
        <v>147</v>
      </c>
      <c r="J80" s="62" t="s">
        <v>117</v>
      </c>
      <c r="K80" s="63">
        <v>45818.0</v>
      </c>
      <c r="L80" s="62" t="s">
        <v>118</v>
      </c>
      <c r="M80" s="64" t="s">
        <v>148</v>
      </c>
      <c r="N80" s="65">
        <v>8.0</v>
      </c>
      <c r="O80" s="67" t="s">
        <v>149</v>
      </c>
      <c r="P80" s="68"/>
      <c r="Q80" s="68"/>
    </row>
    <row r="81">
      <c r="A81" s="100">
        <v>421.0</v>
      </c>
      <c r="B81" s="78" t="s">
        <v>11</v>
      </c>
      <c r="C81" s="101">
        <v>45702.0</v>
      </c>
      <c r="D81" s="56" t="s">
        <v>199</v>
      </c>
      <c r="E81" s="79" t="s">
        <v>123</v>
      </c>
      <c r="F81" s="58" t="s">
        <v>116</v>
      </c>
      <c r="G81" s="59"/>
      <c r="H81" s="60"/>
      <c r="I81" s="61"/>
      <c r="J81" s="62"/>
      <c r="K81" s="63"/>
      <c r="L81" s="62"/>
      <c r="M81" s="64"/>
      <c r="N81" s="102"/>
      <c r="O81" s="67"/>
      <c r="P81" s="68"/>
      <c r="Q81" s="68"/>
    </row>
    <row r="82" hidden="1">
      <c r="A82" s="100">
        <v>422.0</v>
      </c>
      <c r="B82" s="78" t="s">
        <v>11</v>
      </c>
      <c r="C82" s="57"/>
      <c r="D82" s="56" t="s">
        <v>122</v>
      </c>
      <c r="E82" s="79" t="s">
        <v>123</v>
      </c>
      <c r="F82" s="66" t="s">
        <v>124</v>
      </c>
      <c r="G82" s="66" t="s">
        <v>125</v>
      </c>
      <c r="H82" s="66" t="s">
        <v>126</v>
      </c>
      <c r="I82" s="67" t="s">
        <v>127</v>
      </c>
      <c r="J82" s="62" t="s">
        <v>117</v>
      </c>
      <c r="K82" s="72">
        <v>45736.0</v>
      </c>
      <c r="L82" s="103"/>
      <c r="M82" s="67" t="s">
        <v>180</v>
      </c>
      <c r="N82" s="67">
        <v>35.0</v>
      </c>
      <c r="O82" s="117"/>
      <c r="P82" s="117"/>
      <c r="Q82" s="117"/>
    </row>
    <row r="83" hidden="1">
      <c r="A83" s="109">
        <v>422.0</v>
      </c>
      <c r="B83" s="89" t="s">
        <v>11</v>
      </c>
      <c r="C83" s="90"/>
      <c r="D83" s="91"/>
      <c r="E83" s="89"/>
      <c r="F83" s="58" t="s">
        <v>137</v>
      </c>
      <c r="G83" s="66" t="s">
        <v>125</v>
      </c>
      <c r="H83" s="86" t="s">
        <v>134</v>
      </c>
      <c r="I83" s="118" t="s">
        <v>200</v>
      </c>
      <c r="J83" s="62" t="s">
        <v>117</v>
      </c>
      <c r="K83" s="72">
        <v>45755.0</v>
      </c>
      <c r="L83" s="103"/>
      <c r="M83" s="67" t="s">
        <v>201</v>
      </c>
      <c r="N83" s="67">
        <v>11.0</v>
      </c>
      <c r="O83" s="67" t="s">
        <v>202</v>
      </c>
      <c r="P83" s="105"/>
      <c r="Q83" s="105"/>
    </row>
    <row r="84" hidden="1">
      <c r="A84" s="104">
        <v>422.0</v>
      </c>
      <c r="B84" s="90" t="s">
        <v>11</v>
      </c>
      <c r="C84" s="90"/>
      <c r="D84" s="91"/>
      <c r="E84" s="89"/>
      <c r="F84" s="58" t="s">
        <v>137</v>
      </c>
      <c r="G84" s="93" t="s">
        <v>129</v>
      </c>
      <c r="H84" s="93" t="s">
        <v>138</v>
      </c>
      <c r="I84" s="40" t="s">
        <v>203</v>
      </c>
      <c r="J84" s="62" t="s">
        <v>117</v>
      </c>
      <c r="K84" s="72">
        <v>45778.0</v>
      </c>
      <c r="L84" s="103"/>
      <c r="M84" s="67" t="s">
        <v>204</v>
      </c>
      <c r="N84" s="67">
        <v>8.0</v>
      </c>
      <c r="O84" s="67" t="s">
        <v>159</v>
      </c>
      <c r="P84" s="105"/>
      <c r="Q84" s="105"/>
    </row>
    <row r="85" hidden="1">
      <c r="A85" s="104">
        <v>422.0</v>
      </c>
      <c r="B85" s="90" t="s">
        <v>11</v>
      </c>
      <c r="C85" s="90"/>
      <c r="D85" s="91"/>
      <c r="E85" s="89"/>
      <c r="F85" s="58" t="s">
        <v>137</v>
      </c>
      <c r="G85" s="66" t="s">
        <v>125</v>
      </c>
      <c r="H85" s="93" t="s">
        <v>152</v>
      </c>
      <c r="I85" s="107" t="s">
        <v>205</v>
      </c>
      <c r="J85" s="62" t="s">
        <v>117</v>
      </c>
      <c r="K85" s="72">
        <v>45778.0</v>
      </c>
      <c r="L85" s="103"/>
      <c r="M85" s="67" t="s">
        <v>206</v>
      </c>
      <c r="N85" s="67">
        <v>65.0</v>
      </c>
      <c r="O85" s="119"/>
      <c r="P85" s="120"/>
      <c r="Q85" s="120"/>
    </row>
    <row r="86" hidden="1">
      <c r="A86" s="104">
        <v>422.0</v>
      </c>
      <c r="B86" s="90" t="s">
        <v>11</v>
      </c>
      <c r="C86" s="90"/>
      <c r="D86" s="91"/>
      <c r="E86" s="89"/>
      <c r="F86" s="58" t="s">
        <v>137</v>
      </c>
      <c r="G86" s="111" t="s">
        <v>156</v>
      </c>
      <c r="H86" s="93" t="s">
        <v>157</v>
      </c>
      <c r="I86" s="121" t="s">
        <v>156</v>
      </c>
      <c r="J86" s="62" t="s">
        <v>117</v>
      </c>
      <c r="K86" s="72">
        <v>45778.0</v>
      </c>
      <c r="L86" s="66" t="s">
        <v>118</v>
      </c>
      <c r="M86" s="67" t="s">
        <v>158</v>
      </c>
      <c r="N86" s="67">
        <v>20.0</v>
      </c>
      <c r="O86" s="67" t="s">
        <v>159</v>
      </c>
      <c r="P86" s="105"/>
      <c r="Q86" s="105"/>
    </row>
    <row r="87" hidden="1">
      <c r="A87" s="106">
        <v>422.0</v>
      </c>
      <c r="B87" s="82" t="s">
        <v>11</v>
      </c>
      <c r="C87" s="83"/>
      <c r="D87" s="84"/>
      <c r="E87" s="83"/>
      <c r="F87" s="66" t="s">
        <v>124</v>
      </c>
      <c r="G87" s="85" t="s">
        <v>129</v>
      </c>
      <c r="H87" s="86" t="s">
        <v>130</v>
      </c>
      <c r="I87" s="87" t="s">
        <v>131</v>
      </c>
      <c r="J87" s="62" t="s">
        <v>117</v>
      </c>
      <c r="K87" s="63">
        <v>45789.0</v>
      </c>
      <c r="L87" s="75"/>
      <c r="M87" s="68"/>
      <c r="N87" s="65">
        <v>25.0</v>
      </c>
      <c r="O87" s="67" t="s">
        <v>165</v>
      </c>
      <c r="P87" s="68"/>
      <c r="Q87" s="68"/>
    </row>
    <row r="88" hidden="1">
      <c r="A88" s="104">
        <v>422.0</v>
      </c>
      <c r="B88" s="89" t="s">
        <v>11</v>
      </c>
      <c r="C88" s="90"/>
      <c r="D88" s="91"/>
      <c r="E88" s="90"/>
      <c r="F88" s="66" t="s">
        <v>124</v>
      </c>
      <c r="G88" s="92" t="s">
        <v>133</v>
      </c>
      <c r="H88" s="93" t="s">
        <v>134</v>
      </c>
      <c r="I88" s="94" t="s">
        <v>135</v>
      </c>
      <c r="J88" s="62" t="s">
        <v>117</v>
      </c>
      <c r="K88" s="72">
        <v>45790.0</v>
      </c>
      <c r="L88" s="66" t="s">
        <v>118</v>
      </c>
      <c r="M88" s="67"/>
      <c r="N88" s="67">
        <v>75.0</v>
      </c>
      <c r="O88" s="67" t="s">
        <v>136</v>
      </c>
      <c r="P88" s="68"/>
      <c r="Q88" s="68"/>
    </row>
    <row r="89" hidden="1">
      <c r="A89" s="97">
        <v>422.0</v>
      </c>
      <c r="B89" s="96" t="s">
        <v>11</v>
      </c>
      <c r="C89" s="97"/>
      <c r="D89" s="96"/>
      <c r="E89" s="98"/>
      <c r="F89" s="58" t="s">
        <v>137</v>
      </c>
      <c r="G89" s="58" t="s">
        <v>129</v>
      </c>
      <c r="H89" s="86" t="s">
        <v>138</v>
      </c>
      <c r="I89" s="61" t="s">
        <v>139</v>
      </c>
      <c r="J89" s="62" t="s">
        <v>162</v>
      </c>
      <c r="K89" s="63"/>
      <c r="L89" s="99"/>
      <c r="M89" s="64"/>
      <c r="N89" s="102"/>
      <c r="O89" s="67"/>
      <c r="P89" s="68"/>
      <c r="Q89" s="68"/>
    </row>
    <row r="90" hidden="1">
      <c r="A90" s="106">
        <v>422.0</v>
      </c>
      <c r="B90" s="82" t="s">
        <v>11</v>
      </c>
      <c r="C90" s="97"/>
      <c r="D90" s="96"/>
      <c r="E90" s="98"/>
      <c r="F90" s="66" t="s">
        <v>124</v>
      </c>
      <c r="G90" s="58" t="s">
        <v>129</v>
      </c>
      <c r="H90" s="86" t="s">
        <v>130</v>
      </c>
      <c r="I90" s="61" t="s">
        <v>142</v>
      </c>
      <c r="J90" s="62" t="s">
        <v>117</v>
      </c>
      <c r="K90" s="63">
        <v>45818.0</v>
      </c>
      <c r="L90" s="99"/>
      <c r="M90" s="64" t="s">
        <v>143</v>
      </c>
      <c r="N90" s="65">
        <v>15.0</v>
      </c>
      <c r="O90" s="67"/>
      <c r="P90" s="68"/>
      <c r="Q90" s="68"/>
    </row>
    <row r="91" hidden="1">
      <c r="A91" s="106">
        <v>422.0</v>
      </c>
      <c r="B91" s="82" t="s">
        <v>11</v>
      </c>
      <c r="C91" s="97"/>
      <c r="D91" s="96"/>
      <c r="E91" s="98"/>
      <c r="F91" s="66" t="s">
        <v>124</v>
      </c>
      <c r="G91" s="66" t="s">
        <v>125</v>
      </c>
      <c r="H91" s="86" t="s">
        <v>130</v>
      </c>
      <c r="I91" s="61" t="s">
        <v>144</v>
      </c>
      <c r="J91" s="62" t="s">
        <v>117</v>
      </c>
      <c r="K91" s="63">
        <v>45818.0</v>
      </c>
      <c r="L91" s="99"/>
      <c r="M91" s="64" t="s">
        <v>145</v>
      </c>
      <c r="N91" s="65">
        <v>5.0</v>
      </c>
      <c r="O91" s="67"/>
      <c r="P91" s="68"/>
      <c r="Q91" s="68"/>
    </row>
    <row r="92" hidden="1">
      <c r="A92" s="106">
        <v>422.0</v>
      </c>
      <c r="B92" s="82" t="s">
        <v>11</v>
      </c>
      <c r="C92" s="97"/>
      <c r="D92" s="96"/>
      <c r="E92" s="98"/>
      <c r="F92" s="66" t="s">
        <v>124</v>
      </c>
      <c r="G92" s="66" t="s">
        <v>125</v>
      </c>
      <c r="H92" s="86" t="s">
        <v>146</v>
      </c>
      <c r="I92" s="61" t="s">
        <v>147</v>
      </c>
      <c r="J92" s="62" t="s">
        <v>117</v>
      </c>
      <c r="K92" s="63">
        <v>45818.0</v>
      </c>
      <c r="L92" s="62" t="s">
        <v>118</v>
      </c>
      <c r="M92" s="64" t="s">
        <v>148</v>
      </c>
      <c r="N92" s="65">
        <v>8.0</v>
      </c>
      <c r="O92" s="67" t="s">
        <v>149</v>
      </c>
      <c r="P92" s="68"/>
      <c r="Q92" s="68"/>
    </row>
    <row r="93">
      <c r="A93" s="100">
        <v>422.0</v>
      </c>
      <c r="B93" s="78" t="s">
        <v>11</v>
      </c>
      <c r="C93" s="101">
        <v>45702.0</v>
      </c>
      <c r="D93" s="56" t="s">
        <v>207</v>
      </c>
      <c r="E93" s="79" t="s">
        <v>123</v>
      </c>
      <c r="F93" s="58" t="s">
        <v>116</v>
      </c>
      <c r="G93" s="59"/>
      <c r="H93" s="60"/>
      <c r="I93" s="61"/>
      <c r="J93" s="62"/>
      <c r="K93" s="63"/>
      <c r="L93" s="62"/>
      <c r="M93" s="64"/>
      <c r="N93" s="102"/>
      <c r="O93" s="67"/>
      <c r="P93" s="68"/>
      <c r="Q93" s="68"/>
    </row>
    <row r="94" hidden="1">
      <c r="A94" s="100">
        <v>423.0</v>
      </c>
      <c r="B94" s="78" t="s">
        <v>11</v>
      </c>
      <c r="C94" s="57"/>
      <c r="D94" s="56" t="s">
        <v>122</v>
      </c>
      <c r="E94" s="79" t="s">
        <v>123</v>
      </c>
      <c r="F94" s="66" t="s">
        <v>124</v>
      </c>
      <c r="G94" s="66" t="s">
        <v>125</v>
      </c>
      <c r="H94" s="66" t="s">
        <v>126</v>
      </c>
      <c r="I94" s="67" t="s">
        <v>127</v>
      </c>
      <c r="J94" s="62" t="s">
        <v>117</v>
      </c>
      <c r="K94" s="72">
        <v>45736.0</v>
      </c>
      <c r="L94" s="103"/>
      <c r="M94" s="67" t="s">
        <v>208</v>
      </c>
      <c r="N94" s="67">
        <v>13.0</v>
      </c>
      <c r="O94" s="68"/>
      <c r="P94" s="68"/>
      <c r="Q94" s="68"/>
    </row>
    <row r="95" hidden="1">
      <c r="A95" s="106">
        <v>423.0</v>
      </c>
      <c r="B95" s="82" t="s">
        <v>11</v>
      </c>
      <c r="C95" s="83"/>
      <c r="D95" s="84"/>
      <c r="E95" s="83"/>
      <c r="F95" s="66" t="s">
        <v>124</v>
      </c>
      <c r="G95" s="85" t="s">
        <v>129</v>
      </c>
      <c r="H95" s="86" t="s">
        <v>130</v>
      </c>
      <c r="I95" s="87" t="s">
        <v>131</v>
      </c>
      <c r="J95" s="62" t="s">
        <v>117</v>
      </c>
      <c r="K95" s="63">
        <v>45789.0</v>
      </c>
      <c r="L95" s="75"/>
      <c r="M95" s="68"/>
      <c r="N95" s="65">
        <v>25.0</v>
      </c>
      <c r="O95" s="67" t="s">
        <v>165</v>
      </c>
      <c r="P95" s="68"/>
      <c r="Q95" s="68"/>
    </row>
    <row r="96" hidden="1">
      <c r="A96" s="104">
        <v>423.0</v>
      </c>
      <c r="B96" s="89" t="s">
        <v>11</v>
      </c>
      <c r="C96" s="90"/>
      <c r="D96" s="91"/>
      <c r="E96" s="90"/>
      <c r="F96" s="66" t="s">
        <v>124</v>
      </c>
      <c r="G96" s="92" t="s">
        <v>133</v>
      </c>
      <c r="H96" s="93" t="s">
        <v>134</v>
      </c>
      <c r="I96" s="94" t="s">
        <v>135</v>
      </c>
      <c r="J96" s="62" t="s">
        <v>117</v>
      </c>
      <c r="K96" s="72">
        <v>45790.0</v>
      </c>
      <c r="L96" s="66" t="s">
        <v>118</v>
      </c>
      <c r="M96" s="67"/>
      <c r="N96" s="67">
        <v>75.0</v>
      </c>
      <c r="O96" s="67" t="s">
        <v>136</v>
      </c>
      <c r="P96" s="68"/>
      <c r="Q96" s="68"/>
    </row>
    <row r="97" hidden="1">
      <c r="A97" s="97">
        <v>423.0</v>
      </c>
      <c r="B97" s="96" t="s">
        <v>11</v>
      </c>
      <c r="C97" s="97"/>
      <c r="D97" s="96"/>
      <c r="E97" s="98"/>
      <c r="F97" s="58" t="s">
        <v>137</v>
      </c>
      <c r="G97" s="58" t="s">
        <v>129</v>
      </c>
      <c r="H97" s="86" t="s">
        <v>138</v>
      </c>
      <c r="I97" s="61" t="s">
        <v>139</v>
      </c>
      <c r="J97" s="62" t="s">
        <v>117</v>
      </c>
      <c r="K97" s="63">
        <v>45796.0</v>
      </c>
      <c r="L97" s="62" t="s">
        <v>118</v>
      </c>
      <c r="M97" s="64" t="s">
        <v>140</v>
      </c>
      <c r="N97" s="65">
        <v>6.0</v>
      </c>
      <c r="O97" s="67" t="s">
        <v>141</v>
      </c>
      <c r="P97" s="68"/>
      <c r="Q97" s="68"/>
    </row>
    <row r="98" hidden="1">
      <c r="A98" s="106">
        <v>423.0</v>
      </c>
      <c r="B98" s="82" t="s">
        <v>11</v>
      </c>
      <c r="C98" s="106"/>
      <c r="D98" s="82"/>
      <c r="E98" s="83"/>
      <c r="F98" s="85" t="s">
        <v>116</v>
      </c>
      <c r="G98" s="85"/>
      <c r="H98" s="92" t="s">
        <v>157</v>
      </c>
      <c r="I98" s="87" t="s">
        <v>209</v>
      </c>
      <c r="J98" s="62" t="s">
        <v>117</v>
      </c>
      <c r="K98" s="65" t="s">
        <v>210</v>
      </c>
      <c r="L98" s="62" t="s">
        <v>211</v>
      </c>
      <c r="M98" s="64" t="s">
        <v>212</v>
      </c>
      <c r="N98" s="65">
        <v>60.0</v>
      </c>
      <c r="O98" s="67"/>
      <c r="P98" s="68"/>
      <c r="Q98" s="68"/>
    </row>
    <row r="99">
      <c r="A99" s="100">
        <v>423.0</v>
      </c>
      <c r="B99" s="78" t="s">
        <v>11</v>
      </c>
      <c r="C99" s="101">
        <v>45702.0</v>
      </c>
      <c r="D99" s="56" t="s">
        <v>213</v>
      </c>
      <c r="E99" s="79" t="s">
        <v>123</v>
      </c>
      <c r="F99" s="58" t="s">
        <v>116</v>
      </c>
      <c r="G99" s="59"/>
      <c r="H99" s="60"/>
      <c r="I99" s="61"/>
      <c r="J99" s="62"/>
      <c r="K99" s="63"/>
      <c r="L99" s="62"/>
      <c r="M99" s="64"/>
      <c r="N99" s="102"/>
      <c r="O99" s="67"/>
      <c r="P99" s="68"/>
      <c r="Q99" s="68"/>
    </row>
    <row r="100" hidden="1">
      <c r="A100" s="100">
        <v>424.0</v>
      </c>
      <c r="B100" s="78" t="s">
        <v>11</v>
      </c>
      <c r="C100" s="57"/>
      <c r="D100" s="56" t="s">
        <v>122</v>
      </c>
      <c r="E100" s="79" t="s">
        <v>123</v>
      </c>
      <c r="F100" s="66" t="s">
        <v>124</v>
      </c>
      <c r="G100" s="66" t="s">
        <v>125</v>
      </c>
      <c r="H100" s="66" t="s">
        <v>126</v>
      </c>
      <c r="I100" s="67" t="s">
        <v>127</v>
      </c>
      <c r="J100" s="62" t="s">
        <v>117</v>
      </c>
      <c r="K100" s="72">
        <v>45736.0</v>
      </c>
      <c r="L100" s="103"/>
      <c r="M100" s="67" t="s">
        <v>208</v>
      </c>
      <c r="N100" s="67">
        <v>13.0</v>
      </c>
      <c r="O100" s="68"/>
      <c r="P100" s="68"/>
      <c r="Q100" s="68"/>
    </row>
    <row r="101" hidden="1">
      <c r="A101" s="109">
        <v>424.0</v>
      </c>
      <c r="B101" s="89" t="s">
        <v>11</v>
      </c>
      <c r="C101" s="90"/>
      <c r="D101" s="91"/>
      <c r="E101" s="89"/>
      <c r="F101" s="58" t="s">
        <v>137</v>
      </c>
      <c r="G101" s="122" t="s">
        <v>194</v>
      </c>
      <c r="H101" s="92" t="s">
        <v>194</v>
      </c>
      <c r="I101" s="87" t="s">
        <v>214</v>
      </c>
      <c r="J101" s="62" t="s">
        <v>117</v>
      </c>
      <c r="K101" s="72">
        <v>45778.0</v>
      </c>
      <c r="L101" s="103"/>
      <c r="M101" s="67" t="s">
        <v>215</v>
      </c>
      <c r="N101" s="67">
        <v>8.0</v>
      </c>
      <c r="O101" s="68"/>
      <c r="P101" s="68"/>
      <c r="Q101" s="68"/>
    </row>
    <row r="102" hidden="1">
      <c r="A102" s="109">
        <v>424.0</v>
      </c>
      <c r="B102" s="89" t="s">
        <v>11</v>
      </c>
      <c r="C102" s="90"/>
      <c r="D102" s="91"/>
      <c r="E102" s="89"/>
      <c r="F102" s="58" t="s">
        <v>137</v>
      </c>
      <c r="G102" s="122" t="s">
        <v>156</v>
      </c>
      <c r="H102" s="93" t="s">
        <v>157</v>
      </c>
      <c r="I102" s="40" t="s">
        <v>156</v>
      </c>
      <c r="J102" s="62" t="s">
        <v>117</v>
      </c>
      <c r="K102" s="72">
        <v>45778.0</v>
      </c>
      <c r="L102" s="66" t="s">
        <v>118</v>
      </c>
      <c r="M102" s="67" t="s">
        <v>158</v>
      </c>
      <c r="N102" s="67">
        <v>20.0</v>
      </c>
      <c r="O102" s="67" t="s">
        <v>216</v>
      </c>
      <c r="P102" s="105"/>
      <c r="Q102" s="105"/>
    </row>
    <row r="103" hidden="1">
      <c r="A103" s="106">
        <v>424.0</v>
      </c>
      <c r="B103" s="82" t="s">
        <v>11</v>
      </c>
      <c r="C103" s="83"/>
      <c r="D103" s="84"/>
      <c r="E103" s="83"/>
      <c r="F103" s="66" t="s">
        <v>124</v>
      </c>
      <c r="G103" s="85" t="s">
        <v>129</v>
      </c>
      <c r="H103" s="86" t="s">
        <v>130</v>
      </c>
      <c r="I103" s="87" t="s">
        <v>131</v>
      </c>
      <c r="J103" s="62" t="s">
        <v>117</v>
      </c>
      <c r="K103" s="63">
        <v>45789.0</v>
      </c>
      <c r="L103" s="75"/>
      <c r="M103" s="68"/>
      <c r="N103" s="65">
        <v>25.0</v>
      </c>
      <c r="O103" s="67" t="s">
        <v>165</v>
      </c>
      <c r="P103" s="68"/>
      <c r="Q103" s="68"/>
    </row>
    <row r="104" hidden="1">
      <c r="A104" s="104">
        <v>424.0</v>
      </c>
      <c r="B104" s="89" t="s">
        <v>11</v>
      </c>
      <c r="C104" s="90"/>
      <c r="D104" s="91"/>
      <c r="E104" s="90"/>
      <c r="F104" s="66" t="s">
        <v>124</v>
      </c>
      <c r="G104" s="92" t="s">
        <v>133</v>
      </c>
      <c r="H104" s="93" t="s">
        <v>134</v>
      </c>
      <c r="I104" s="94" t="s">
        <v>135</v>
      </c>
      <c r="J104" s="62" t="s">
        <v>117</v>
      </c>
      <c r="K104" s="72">
        <v>45790.0</v>
      </c>
      <c r="L104" s="66" t="s">
        <v>118</v>
      </c>
      <c r="M104" s="67"/>
      <c r="N104" s="67">
        <v>75.0</v>
      </c>
      <c r="O104" s="67" t="s">
        <v>136</v>
      </c>
      <c r="P104" s="68"/>
      <c r="Q104" s="68"/>
    </row>
    <row r="105" hidden="1">
      <c r="A105" s="97">
        <v>424.0</v>
      </c>
      <c r="B105" s="96" t="s">
        <v>11</v>
      </c>
      <c r="C105" s="97"/>
      <c r="D105" s="96"/>
      <c r="E105" s="98"/>
      <c r="F105" s="58" t="s">
        <v>137</v>
      </c>
      <c r="G105" s="58" t="s">
        <v>129</v>
      </c>
      <c r="H105" s="86" t="s">
        <v>138</v>
      </c>
      <c r="I105" s="61" t="s">
        <v>139</v>
      </c>
      <c r="J105" s="62" t="s">
        <v>162</v>
      </c>
      <c r="K105" s="63"/>
      <c r="L105" s="99"/>
      <c r="M105" s="64"/>
      <c r="N105" s="102"/>
      <c r="O105" s="67"/>
      <c r="P105" s="68"/>
      <c r="Q105" s="68"/>
    </row>
    <row r="106" hidden="1">
      <c r="A106" s="106">
        <v>424.0</v>
      </c>
      <c r="B106" s="82" t="s">
        <v>11</v>
      </c>
      <c r="C106" s="97"/>
      <c r="D106" s="96"/>
      <c r="E106" s="98"/>
      <c r="F106" s="66" t="s">
        <v>124</v>
      </c>
      <c r="G106" s="58" t="s">
        <v>129</v>
      </c>
      <c r="H106" s="86" t="s">
        <v>130</v>
      </c>
      <c r="I106" s="61" t="s">
        <v>142</v>
      </c>
      <c r="J106" s="62" t="s">
        <v>117</v>
      </c>
      <c r="K106" s="63">
        <v>45818.0</v>
      </c>
      <c r="L106" s="99"/>
      <c r="M106" s="64" t="s">
        <v>143</v>
      </c>
      <c r="N106" s="65">
        <v>15.0</v>
      </c>
      <c r="O106" s="67"/>
      <c r="P106" s="68"/>
      <c r="Q106" s="68"/>
    </row>
    <row r="107" hidden="1">
      <c r="A107" s="106">
        <v>424.0</v>
      </c>
      <c r="B107" s="82" t="s">
        <v>11</v>
      </c>
      <c r="C107" s="97"/>
      <c r="D107" s="96"/>
      <c r="E107" s="98"/>
      <c r="F107" s="66" t="s">
        <v>124</v>
      </c>
      <c r="G107" s="66" t="s">
        <v>125</v>
      </c>
      <c r="H107" s="86" t="s">
        <v>130</v>
      </c>
      <c r="I107" s="61" t="s">
        <v>144</v>
      </c>
      <c r="J107" s="62" t="s">
        <v>117</v>
      </c>
      <c r="K107" s="63">
        <v>45818.0</v>
      </c>
      <c r="L107" s="99"/>
      <c r="M107" s="64" t="s">
        <v>145</v>
      </c>
      <c r="N107" s="65">
        <v>5.0</v>
      </c>
      <c r="O107" s="67"/>
      <c r="P107" s="68"/>
      <c r="Q107" s="68"/>
    </row>
    <row r="108" hidden="1">
      <c r="A108" s="106">
        <v>424.0</v>
      </c>
      <c r="B108" s="82" t="s">
        <v>11</v>
      </c>
      <c r="C108" s="97"/>
      <c r="D108" s="96"/>
      <c r="E108" s="98"/>
      <c r="F108" s="66" t="s">
        <v>124</v>
      </c>
      <c r="G108" s="66" t="s">
        <v>125</v>
      </c>
      <c r="H108" s="86" t="s">
        <v>146</v>
      </c>
      <c r="I108" s="61" t="s">
        <v>147</v>
      </c>
      <c r="J108" s="62" t="s">
        <v>117</v>
      </c>
      <c r="K108" s="63">
        <v>45818.0</v>
      </c>
      <c r="L108" s="62" t="s">
        <v>118</v>
      </c>
      <c r="M108" s="64" t="s">
        <v>148</v>
      </c>
      <c r="N108" s="65">
        <v>8.0</v>
      </c>
      <c r="O108" s="67" t="s">
        <v>149</v>
      </c>
      <c r="P108" s="68"/>
      <c r="Q108" s="68"/>
    </row>
    <row r="109">
      <c r="A109" s="100">
        <v>424.0</v>
      </c>
      <c r="B109" s="78" t="s">
        <v>11</v>
      </c>
      <c r="C109" s="101">
        <v>45702.0</v>
      </c>
      <c r="D109" s="56" t="s">
        <v>217</v>
      </c>
      <c r="E109" s="79" t="s">
        <v>123</v>
      </c>
      <c r="F109" s="58" t="s">
        <v>116</v>
      </c>
      <c r="G109" s="59"/>
      <c r="H109" s="60"/>
      <c r="I109" s="61"/>
      <c r="J109" s="62"/>
      <c r="K109" s="63"/>
      <c r="L109" s="62"/>
      <c r="M109" s="64"/>
      <c r="N109" s="102"/>
      <c r="O109" s="67"/>
      <c r="P109" s="68"/>
      <c r="Q109" s="68"/>
    </row>
    <row r="110" hidden="1">
      <c r="A110" s="100">
        <v>425.0</v>
      </c>
      <c r="B110" s="78" t="s">
        <v>11</v>
      </c>
      <c r="C110" s="57"/>
      <c r="D110" s="56" t="s">
        <v>122</v>
      </c>
      <c r="E110" s="79" t="s">
        <v>123</v>
      </c>
      <c r="F110" s="66" t="s">
        <v>124</v>
      </c>
      <c r="G110" s="66" t="s">
        <v>125</v>
      </c>
      <c r="H110" s="66" t="s">
        <v>126</v>
      </c>
      <c r="I110" s="67" t="s">
        <v>127</v>
      </c>
      <c r="J110" s="62" t="s">
        <v>117</v>
      </c>
      <c r="K110" s="72">
        <v>45736.0</v>
      </c>
      <c r="L110" s="66" t="s">
        <v>118</v>
      </c>
      <c r="M110" s="67" t="s">
        <v>176</v>
      </c>
      <c r="N110" s="67">
        <v>12.0</v>
      </c>
      <c r="O110" s="68"/>
      <c r="P110" s="68"/>
      <c r="Q110" s="68"/>
    </row>
    <row r="111" hidden="1">
      <c r="A111" s="106">
        <v>425.0</v>
      </c>
      <c r="B111" s="82" t="s">
        <v>11</v>
      </c>
      <c r="C111" s="83"/>
      <c r="D111" s="84"/>
      <c r="E111" s="83"/>
      <c r="F111" s="66" t="s">
        <v>124</v>
      </c>
      <c r="G111" s="85" t="s">
        <v>129</v>
      </c>
      <c r="H111" s="86" t="s">
        <v>130</v>
      </c>
      <c r="I111" s="87" t="s">
        <v>131</v>
      </c>
      <c r="J111" s="62" t="s">
        <v>117</v>
      </c>
      <c r="K111" s="63">
        <v>45789.0</v>
      </c>
      <c r="L111" s="75"/>
      <c r="M111" s="68"/>
      <c r="N111" s="65">
        <v>25.0</v>
      </c>
      <c r="O111" s="67" t="s">
        <v>165</v>
      </c>
      <c r="P111" s="68"/>
      <c r="Q111" s="68"/>
    </row>
    <row r="112" hidden="1">
      <c r="A112" s="104">
        <v>425.0</v>
      </c>
      <c r="B112" s="89" t="s">
        <v>11</v>
      </c>
      <c r="C112" s="90"/>
      <c r="D112" s="91"/>
      <c r="E112" s="90"/>
      <c r="F112" s="66" t="s">
        <v>124</v>
      </c>
      <c r="G112" s="92" t="s">
        <v>133</v>
      </c>
      <c r="H112" s="93" t="s">
        <v>134</v>
      </c>
      <c r="I112" s="94" t="s">
        <v>135</v>
      </c>
      <c r="J112" s="62" t="s">
        <v>117</v>
      </c>
      <c r="K112" s="72">
        <v>45790.0</v>
      </c>
      <c r="L112" s="66" t="s">
        <v>118</v>
      </c>
      <c r="M112" s="67"/>
      <c r="N112" s="67">
        <v>75.0</v>
      </c>
      <c r="O112" s="67" t="s">
        <v>136</v>
      </c>
      <c r="P112" s="68"/>
      <c r="Q112" s="68"/>
    </row>
    <row r="113" hidden="1">
      <c r="A113" s="97">
        <v>425.0</v>
      </c>
      <c r="B113" s="96" t="s">
        <v>11</v>
      </c>
      <c r="C113" s="97"/>
      <c r="D113" s="96"/>
      <c r="E113" s="98"/>
      <c r="F113" s="58" t="s">
        <v>137</v>
      </c>
      <c r="G113" s="58" t="s">
        <v>129</v>
      </c>
      <c r="H113" s="86" t="s">
        <v>138</v>
      </c>
      <c r="I113" s="61" t="s">
        <v>139</v>
      </c>
      <c r="J113" s="62" t="s">
        <v>162</v>
      </c>
      <c r="K113" s="63"/>
      <c r="L113" s="99"/>
      <c r="M113" s="64"/>
      <c r="N113" s="102"/>
      <c r="O113" s="67"/>
      <c r="P113" s="68"/>
      <c r="Q113" s="68"/>
    </row>
    <row r="114" hidden="1">
      <c r="A114" s="106">
        <v>425.0</v>
      </c>
      <c r="B114" s="82" t="s">
        <v>11</v>
      </c>
      <c r="C114" s="97"/>
      <c r="D114" s="96"/>
      <c r="E114" s="98"/>
      <c r="F114" s="66" t="s">
        <v>124</v>
      </c>
      <c r="G114" s="58" t="s">
        <v>129</v>
      </c>
      <c r="H114" s="86" t="s">
        <v>130</v>
      </c>
      <c r="I114" s="61" t="s">
        <v>142</v>
      </c>
      <c r="J114" s="62" t="s">
        <v>117</v>
      </c>
      <c r="K114" s="63">
        <v>45818.0</v>
      </c>
      <c r="L114" s="99"/>
      <c r="M114" s="64" t="s">
        <v>143</v>
      </c>
      <c r="N114" s="65">
        <v>15.0</v>
      </c>
      <c r="O114" s="67"/>
      <c r="P114" s="68"/>
      <c r="Q114" s="68"/>
    </row>
    <row r="115" hidden="1">
      <c r="A115" s="106">
        <v>425.0</v>
      </c>
      <c r="B115" s="82" t="s">
        <v>11</v>
      </c>
      <c r="C115" s="97"/>
      <c r="D115" s="96"/>
      <c r="E115" s="98"/>
      <c r="F115" s="66" t="s">
        <v>124</v>
      </c>
      <c r="G115" s="66" t="s">
        <v>125</v>
      </c>
      <c r="H115" s="86" t="s">
        <v>130</v>
      </c>
      <c r="I115" s="61" t="s">
        <v>144</v>
      </c>
      <c r="J115" s="62" t="s">
        <v>117</v>
      </c>
      <c r="K115" s="63">
        <v>45818.0</v>
      </c>
      <c r="L115" s="99"/>
      <c r="M115" s="64" t="s">
        <v>145</v>
      </c>
      <c r="N115" s="65">
        <v>5.0</v>
      </c>
      <c r="O115" s="67"/>
      <c r="P115" s="68"/>
      <c r="Q115" s="68"/>
    </row>
    <row r="116" hidden="1">
      <c r="A116" s="106">
        <v>425.0</v>
      </c>
      <c r="B116" s="82" t="s">
        <v>11</v>
      </c>
      <c r="C116" s="97"/>
      <c r="D116" s="96"/>
      <c r="E116" s="98"/>
      <c r="F116" s="66" t="s">
        <v>124</v>
      </c>
      <c r="G116" s="66" t="s">
        <v>125</v>
      </c>
      <c r="H116" s="86" t="s">
        <v>146</v>
      </c>
      <c r="I116" s="61" t="s">
        <v>147</v>
      </c>
      <c r="J116" s="62" t="s">
        <v>117</v>
      </c>
      <c r="K116" s="63">
        <v>45818.0</v>
      </c>
      <c r="L116" s="62" t="s">
        <v>118</v>
      </c>
      <c r="M116" s="64" t="s">
        <v>148</v>
      </c>
      <c r="N116" s="65">
        <v>8.0</v>
      </c>
      <c r="O116" s="67" t="s">
        <v>149</v>
      </c>
      <c r="P116" s="68"/>
      <c r="Q116" s="68"/>
    </row>
    <row r="117">
      <c r="A117" s="100">
        <v>425.0</v>
      </c>
      <c r="B117" s="78" t="s">
        <v>11</v>
      </c>
      <c r="C117" s="101">
        <v>45702.0</v>
      </c>
      <c r="D117" s="56" t="s">
        <v>218</v>
      </c>
      <c r="E117" s="79" t="s">
        <v>123</v>
      </c>
      <c r="F117" s="58" t="s">
        <v>116</v>
      </c>
      <c r="G117" s="59"/>
      <c r="H117" s="60"/>
      <c r="I117" s="61"/>
      <c r="J117" s="62"/>
      <c r="K117" s="63"/>
      <c r="L117" s="62"/>
      <c r="M117" s="64"/>
      <c r="N117" s="102"/>
      <c r="O117" s="67"/>
      <c r="P117" s="68"/>
      <c r="Q117" s="68"/>
    </row>
    <row r="118" hidden="1">
      <c r="A118" s="100">
        <v>426.0</v>
      </c>
      <c r="B118" s="78" t="s">
        <v>11</v>
      </c>
      <c r="C118" s="57"/>
      <c r="D118" s="56" t="s">
        <v>122</v>
      </c>
      <c r="E118" s="79" t="s">
        <v>123</v>
      </c>
      <c r="F118" s="66" t="s">
        <v>124</v>
      </c>
      <c r="G118" s="66" t="s">
        <v>125</v>
      </c>
      <c r="H118" s="66" t="s">
        <v>126</v>
      </c>
      <c r="I118" s="67" t="s">
        <v>127</v>
      </c>
      <c r="J118" s="62" t="s">
        <v>117</v>
      </c>
      <c r="K118" s="72">
        <v>45736.0</v>
      </c>
      <c r="L118" s="103"/>
      <c r="M118" s="67" t="s">
        <v>176</v>
      </c>
      <c r="N118" s="67">
        <v>12.0</v>
      </c>
      <c r="O118" s="68"/>
      <c r="P118" s="68"/>
      <c r="Q118" s="68"/>
    </row>
    <row r="119" hidden="1">
      <c r="A119" s="109">
        <v>426.0</v>
      </c>
      <c r="B119" s="89" t="s">
        <v>11</v>
      </c>
      <c r="C119" s="90"/>
      <c r="D119" s="91"/>
      <c r="E119" s="89"/>
      <c r="F119" s="58" t="s">
        <v>137</v>
      </c>
      <c r="G119" s="66" t="s">
        <v>125</v>
      </c>
      <c r="H119" s="92" t="s">
        <v>182</v>
      </c>
      <c r="I119" s="87" t="s">
        <v>219</v>
      </c>
      <c r="J119" s="62" t="s">
        <v>117</v>
      </c>
      <c r="K119" s="72">
        <v>45756.0</v>
      </c>
      <c r="L119" s="66" t="s">
        <v>118</v>
      </c>
      <c r="M119" s="67" t="s">
        <v>220</v>
      </c>
      <c r="N119" s="67">
        <v>6.0</v>
      </c>
      <c r="O119" s="68"/>
      <c r="P119" s="68"/>
      <c r="Q119" s="68"/>
    </row>
    <row r="120" hidden="1">
      <c r="A120" s="106">
        <v>426.0</v>
      </c>
      <c r="B120" s="82" t="s">
        <v>11</v>
      </c>
      <c r="C120" s="83"/>
      <c r="D120" s="84"/>
      <c r="E120" s="83"/>
      <c r="F120" s="66" t="s">
        <v>124</v>
      </c>
      <c r="G120" s="85" t="s">
        <v>129</v>
      </c>
      <c r="H120" s="86" t="s">
        <v>130</v>
      </c>
      <c r="I120" s="87" t="s">
        <v>131</v>
      </c>
      <c r="J120" s="62" t="s">
        <v>117</v>
      </c>
      <c r="K120" s="63">
        <v>45789.0</v>
      </c>
      <c r="L120" s="75"/>
      <c r="M120" s="68"/>
      <c r="N120" s="65">
        <v>25.0</v>
      </c>
      <c r="O120" s="67" t="s">
        <v>165</v>
      </c>
      <c r="P120" s="68"/>
      <c r="Q120" s="68"/>
    </row>
    <row r="121" hidden="1">
      <c r="A121" s="104">
        <v>426.0</v>
      </c>
      <c r="B121" s="89" t="s">
        <v>11</v>
      </c>
      <c r="C121" s="90"/>
      <c r="D121" s="91"/>
      <c r="E121" s="90"/>
      <c r="F121" s="66" t="s">
        <v>124</v>
      </c>
      <c r="G121" s="92" t="s">
        <v>133</v>
      </c>
      <c r="H121" s="93" t="s">
        <v>134</v>
      </c>
      <c r="I121" s="94" t="s">
        <v>135</v>
      </c>
      <c r="J121" s="62" t="s">
        <v>117</v>
      </c>
      <c r="K121" s="72">
        <v>45790.0</v>
      </c>
      <c r="L121" s="66" t="s">
        <v>118</v>
      </c>
      <c r="M121" s="67"/>
      <c r="N121" s="67">
        <v>75.0</v>
      </c>
      <c r="O121" s="67" t="s">
        <v>136</v>
      </c>
      <c r="P121" s="68"/>
      <c r="Q121" s="68"/>
    </row>
    <row r="122" hidden="1">
      <c r="A122" s="97">
        <v>426.0</v>
      </c>
      <c r="B122" s="96" t="s">
        <v>11</v>
      </c>
      <c r="C122" s="97"/>
      <c r="D122" s="96"/>
      <c r="E122" s="98"/>
      <c r="F122" s="58" t="s">
        <v>137</v>
      </c>
      <c r="G122" s="58" t="s">
        <v>129</v>
      </c>
      <c r="H122" s="86" t="s">
        <v>138</v>
      </c>
      <c r="I122" s="61" t="s">
        <v>139</v>
      </c>
      <c r="J122" s="62" t="s">
        <v>117</v>
      </c>
      <c r="K122" s="63">
        <v>45796.0</v>
      </c>
      <c r="L122" s="62" t="s">
        <v>118</v>
      </c>
      <c r="M122" s="64" t="s">
        <v>140</v>
      </c>
      <c r="N122" s="65">
        <v>6.0</v>
      </c>
      <c r="O122" s="67" t="s">
        <v>141</v>
      </c>
      <c r="P122" s="68"/>
      <c r="Q122" s="68"/>
    </row>
    <row r="123" hidden="1">
      <c r="A123" s="106">
        <v>426.0</v>
      </c>
      <c r="B123" s="82" t="s">
        <v>11</v>
      </c>
      <c r="C123" s="97"/>
      <c r="D123" s="96"/>
      <c r="E123" s="98"/>
      <c r="F123" s="66" t="s">
        <v>124</v>
      </c>
      <c r="G123" s="58" t="s">
        <v>129</v>
      </c>
      <c r="H123" s="86" t="s">
        <v>130</v>
      </c>
      <c r="I123" s="61" t="s">
        <v>142</v>
      </c>
      <c r="J123" s="62" t="s">
        <v>117</v>
      </c>
      <c r="K123" s="63">
        <v>45818.0</v>
      </c>
      <c r="L123" s="99"/>
      <c r="M123" s="64" t="s">
        <v>143</v>
      </c>
      <c r="N123" s="65">
        <v>15.0</v>
      </c>
      <c r="O123" s="67"/>
      <c r="P123" s="68"/>
      <c r="Q123" s="68"/>
    </row>
    <row r="124" hidden="1">
      <c r="A124" s="106">
        <v>426.0</v>
      </c>
      <c r="B124" s="82" t="s">
        <v>11</v>
      </c>
      <c r="C124" s="97"/>
      <c r="D124" s="96"/>
      <c r="E124" s="98"/>
      <c r="F124" s="66" t="s">
        <v>124</v>
      </c>
      <c r="G124" s="66" t="s">
        <v>125</v>
      </c>
      <c r="H124" s="86" t="s">
        <v>130</v>
      </c>
      <c r="I124" s="61" t="s">
        <v>144</v>
      </c>
      <c r="J124" s="62" t="s">
        <v>117</v>
      </c>
      <c r="K124" s="63">
        <v>45818.0</v>
      </c>
      <c r="L124" s="99"/>
      <c r="M124" s="64" t="s">
        <v>145</v>
      </c>
      <c r="N124" s="65">
        <v>5.0</v>
      </c>
      <c r="O124" s="67"/>
      <c r="P124" s="68"/>
      <c r="Q124" s="68"/>
    </row>
    <row r="125" hidden="1">
      <c r="A125" s="106">
        <v>426.0</v>
      </c>
      <c r="B125" s="82" t="s">
        <v>11</v>
      </c>
      <c r="C125" s="97"/>
      <c r="D125" s="96"/>
      <c r="E125" s="98"/>
      <c r="F125" s="66" t="s">
        <v>124</v>
      </c>
      <c r="G125" s="66" t="s">
        <v>125</v>
      </c>
      <c r="H125" s="86" t="s">
        <v>146</v>
      </c>
      <c r="I125" s="61" t="s">
        <v>147</v>
      </c>
      <c r="J125" s="62" t="s">
        <v>117</v>
      </c>
      <c r="K125" s="63">
        <v>45818.0</v>
      </c>
      <c r="L125" s="62" t="s">
        <v>118</v>
      </c>
      <c r="M125" s="64" t="s">
        <v>148</v>
      </c>
      <c r="N125" s="65">
        <v>8.0</v>
      </c>
      <c r="O125" s="67" t="s">
        <v>149</v>
      </c>
      <c r="P125" s="68"/>
      <c r="Q125" s="68"/>
    </row>
    <row r="126">
      <c r="A126" s="100">
        <v>426.0</v>
      </c>
      <c r="B126" s="78" t="s">
        <v>11</v>
      </c>
      <c r="C126" s="101">
        <v>45702.0</v>
      </c>
      <c r="D126" s="56" t="s">
        <v>221</v>
      </c>
      <c r="E126" s="79" t="s">
        <v>123</v>
      </c>
      <c r="F126" s="58" t="s">
        <v>116</v>
      </c>
      <c r="G126" s="59"/>
      <c r="H126" s="60"/>
      <c r="I126" s="61"/>
      <c r="J126" s="62"/>
      <c r="K126" s="63"/>
      <c r="L126" s="62"/>
      <c r="M126" s="64"/>
      <c r="N126" s="102"/>
      <c r="O126" s="67"/>
      <c r="P126" s="68"/>
      <c r="Q126" s="68"/>
    </row>
    <row r="127" hidden="1">
      <c r="A127" s="100">
        <v>427.0</v>
      </c>
      <c r="B127" s="78" t="s">
        <v>11</v>
      </c>
      <c r="C127" s="57"/>
      <c r="D127" s="56" t="s">
        <v>122</v>
      </c>
      <c r="E127" s="79" t="s">
        <v>123</v>
      </c>
      <c r="F127" s="66" t="s">
        <v>124</v>
      </c>
      <c r="G127" s="66" t="s">
        <v>125</v>
      </c>
      <c r="H127" s="66" t="s">
        <v>126</v>
      </c>
      <c r="I127" s="67" t="s">
        <v>127</v>
      </c>
      <c r="J127" s="62" t="s">
        <v>117</v>
      </c>
      <c r="K127" s="72">
        <v>45736.0</v>
      </c>
      <c r="L127" s="103"/>
      <c r="M127" s="67" t="s">
        <v>164</v>
      </c>
      <c r="N127" s="67">
        <v>35.0</v>
      </c>
      <c r="O127" s="68"/>
      <c r="P127" s="68"/>
      <c r="Q127" s="68"/>
    </row>
    <row r="128" hidden="1">
      <c r="A128" s="100">
        <v>427.0</v>
      </c>
      <c r="B128" s="89" t="s">
        <v>11</v>
      </c>
      <c r="C128" s="57"/>
      <c r="D128" s="56"/>
      <c r="E128" s="79"/>
      <c r="F128" s="58" t="s">
        <v>137</v>
      </c>
      <c r="G128" s="66" t="s">
        <v>125</v>
      </c>
      <c r="H128" s="66" t="s">
        <v>181</v>
      </c>
      <c r="I128" s="67" t="s">
        <v>222</v>
      </c>
      <c r="J128" s="62" t="s">
        <v>117</v>
      </c>
      <c r="K128" s="72">
        <v>45777.0</v>
      </c>
      <c r="L128" s="103"/>
      <c r="M128" s="67" t="s">
        <v>223</v>
      </c>
      <c r="N128" s="67">
        <v>6.0</v>
      </c>
      <c r="O128" s="68"/>
      <c r="P128" s="68"/>
      <c r="Q128" s="68"/>
    </row>
    <row r="129" hidden="1">
      <c r="A129" s="106">
        <v>427.0</v>
      </c>
      <c r="B129" s="82" t="s">
        <v>11</v>
      </c>
      <c r="C129" s="83"/>
      <c r="D129" s="84"/>
      <c r="E129" s="83"/>
      <c r="F129" s="66" t="s">
        <v>124</v>
      </c>
      <c r="G129" s="85" t="s">
        <v>129</v>
      </c>
      <c r="H129" s="86" t="s">
        <v>130</v>
      </c>
      <c r="I129" s="87" t="s">
        <v>131</v>
      </c>
      <c r="J129" s="62" t="s">
        <v>117</v>
      </c>
      <c r="K129" s="63">
        <v>45789.0</v>
      </c>
      <c r="L129" s="75"/>
      <c r="M129" s="68"/>
      <c r="N129" s="65">
        <v>25.0</v>
      </c>
      <c r="O129" s="67" t="s">
        <v>165</v>
      </c>
      <c r="P129" s="68"/>
      <c r="Q129" s="68"/>
    </row>
    <row r="130" hidden="1">
      <c r="A130" s="104">
        <v>427.0</v>
      </c>
      <c r="B130" s="89" t="s">
        <v>11</v>
      </c>
      <c r="C130" s="90"/>
      <c r="D130" s="91"/>
      <c r="E130" s="90"/>
      <c r="F130" s="66" t="s">
        <v>124</v>
      </c>
      <c r="G130" s="92" t="s">
        <v>133</v>
      </c>
      <c r="H130" s="93" t="s">
        <v>134</v>
      </c>
      <c r="I130" s="94" t="s">
        <v>135</v>
      </c>
      <c r="J130" s="62" t="s">
        <v>117</v>
      </c>
      <c r="K130" s="72">
        <v>45790.0</v>
      </c>
      <c r="L130" s="103"/>
      <c r="M130" s="67"/>
      <c r="N130" s="67">
        <v>75.0</v>
      </c>
      <c r="O130" s="67" t="s">
        <v>136</v>
      </c>
      <c r="P130" s="68"/>
      <c r="Q130" s="68"/>
    </row>
    <row r="131" hidden="1">
      <c r="A131" s="97">
        <v>427.0</v>
      </c>
      <c r="B131" s="96" t="s">
        <v>11</v>
      </c>
      <c r="C131" s="97"/>
      <c r="D131" s="96"/>
      <c r="E131" s="98"/>
      <c r="F131" s="58" t="s">
        <v>137</v>
      </c>
      <c r="G131" s="58" t="s">
        <v>129</v>
      </c>
      <c r="H131" s="86" t="s">
        <v>138</v>
      </c>
      <c r="I131" s="61" t="s">
        <v>139</v>
      </c>
      <c r="J131" s="62" t="s">
        <v>117</v>
      </c>
      <c r="K131" s="63">
        <v>45796.0</v>
      </c>
      <c r="L131" s="99"/>
      <c r="M131" s="64" t="s">
        <v>224</v>
      </c>
      <c r="N131" s="65">
        <v>6.0</v>
      </c>
      <c r="O131" s="67" t="s">
        <v>141</v>
      </c>
      <c r="P131" s="68"/>
      <c r="Q131" s="68"/>
    </row>
    <row r="132" hidden="1">
      <c r="A132" s="106">
        <v>427.0</v>
      </c>
      <c r="B132" s="82" t="s">
        <v>11</v>
      </c>
      <c r="C132" s="106"/>
      <c r="D132" s="82"/>
      <c r="E132" s="83"/>
      <c r="F132" s="58" t="s">
        <v>137</v>
      </c>
      <c r="G132" s="85" t="s">
        <v>129</v>
      </c>
      <c r="H132" s="93" t="s">
        <v>182</v>
      </c>
      <c r="I132" s="94" t="s">
        <v>79</v>
      </c>
      <c r="J132" s="62" t="s">
        <v>117</v>
      </c>
      <c r="K132" s="63">
        <v>45819.0</v>
      </c>
      <c r="L132" s="99"/>
      <c r="M132" s="64" t="s">
        <v>225</v>
      </c>
      <c r="N132" s="65">
        <v>11.0</v>
      </c>
      <c r="O132" s="67" t="s">
        <v>226</v>
      </c>
      <c r="P132" s="68"/>
      <c r="Q132" s="68"/>
    </row>
    <row r="133" hidden="1">
      <c r="A133" s="123">
        <v>427.0</v>
      </c>
      <c r="B133" s="124" t="s">
        <v>11</v>
      </c>
      <c r="C133" s="123"/>
      <c r="D133" s="124"/>
      <c r="E133" s="125"/>
      <c r="F133" s="58" t="s">
        <v>137</v>
      </c>
      <c r="G133" s="126" t="s">
        <v>129</v>
      </c>
      <c r="H133" s="127" t="s">
        <v>182</v>
      </c>
      <c r="I133" s="128" t="s">
        <v>227</v>
      </c>
      <c r="J133" s="62" t="s">
        <v>117</v>
      </c>
      <c r="K133" s="63">
        <v>45824.0</v>
      </c>
      <c r="L133" s="62" t="s">
        <v>118</v>
      </c>
      <c r="M133" s="64" t="s">
        <v>228</v>
      </c>
      <c r="N133" s="65">
        <v>38.0</v>
      </c>
      <c r="O133" s="67" t="s">
        <v>226</v>
      </c>
      <c r="P133" s="68"/>
      <c r="Q133" s="68"/>
    </row>
    <row r="134" hidden="1">
      <c r="A134" s="106">
        <v>427.0</v>
      </c>
      <c r="B134" s="82" t="s">
        <v>11</v>
      </c>
      <c r="C134" s="97"/>
      <c r="D134" s="96"/>
      <c r="E134" s="98"/>
      <c r="F134" s="66" t="s">
        <v>124</v>
      </c>
      <c r="G134" s="58" t="s">
        <v>129</v>
      </c>
      <c r="H134" s="86" t="s">
        <v>130</v>
      </c>
      <c r="I134" s="61" t="s">
        <v>142</v>
      </c>
      <c r="J134" s="62" t="s">
        <v>117</v>
      </c>
      <c r="K134" s="63">
        <v>45818.0</v>
      </c>
      <c r="L134" s="99"/>
      <c r="M134" s="64" t="s">
        <v>143</v>
      </c>
      <c r="N134" s="65">
        <v>15.0</v>
      </c>
      <c r="O134" s="67"/>
      <c r="P134" s="68"/>
      <c r="Q134" s="68"/>
    </row>
    <row r="135" hidden="1">
      <c r="A135" s="106">
        <v>427.0</v>
      </c>
      <c r="B135" s="82" t="s">
        <v>11</v>
      </c>
      <c r="C135" s="97"/>
      <c r="D135" s="96"/>
      <c r="E135" s="98"/>
      <c r="F135" s="66" t="s">
        <v>124</v>
      </c>
      <c r="G135" s="66" t="s">
        <v>125</v>
      </c>
      <c r="H135" s="86" t="s">
        <v>130</v>
      </c>
      <c r="I135" s="61" t="s">
        <v>144</v>
      </c>
      <c r="J135" s="62" t="s">
        <v>117</v>
      </c>
      <c r="K135" s="63">
        <v>45818.0</v>
      </c>
      <c r="L135" s="99"/>
      <c r="M135" s="64" t="s">
        <v>145</v>
      </c>
      <c r="N135" s="65">
        <v>5.0</v>
      </c>
      <c r="O135" s="67"/>
      <c r="P135" s="68"/>
      <c r="Q135" s="68"/>
    </row>
    <row r="136" hidden="1">
      <c r="A136" s="106">
        <v>427.0</v>
      </c>
      <c r="B136" s="82" t="s">
        <v>11</v>
      </c>
      <c r="C136" s="97"/>
      <c r="D136" s="96"/>
      <c r="E136" s="98"/>
      <c r="F136" s="66" t="s">
        <v>124</v>
      </c>
      <c r="G136" s="66" t="s">
        <v>125</v>
      </c>
      <c r="H136" s="86" t="s">
        <v>146</v>
      </c>
      <c r="I136" s="61" t="s">
        <v>147</v>
      </c>
      <c r="J136" s="62" t="s">
        <v>117</v>
      </c>
      <c r="K136" s="63">
        <v>45818.0</v>
      </c>
      <c r="L136" s="62" t="s">
        <v>118</v>
      </c>
      <c r="M136" s="64" t="s">
        <v>148</v>
      </c>
      <c r="N136" s="65">
        <v>8.0</v>
      </c>
      <c r="O136" s="67" t="s">
        <v>149</v>
      </c>
      <c r="P136" s="68"/>
      <c r="Q136" s="68"/>
    </row>
    <row r="137">
      <c r="A137" s="100">
        <v>427.0</v>
      </c>
      <c r="B137" s="78" t="s">
        <v>11</v>
      </c>
      <c r="C137" s="101">
        <v>45702.0</v>
      </c>
      <c r="D137" s="56" t="s">
        <v>229</v>
      </c>
      <c r="E137" s="79" t="s">
        <v>123</v>
      </c>
      <c r="F137" s="58" t="s">
        <v>116</v>
      </c>
      <c r="G137" s="59"/>
      <c r="H137" s="60"/>
      <c r="I137" s="61"/>
      <c r="J137" s="62"/>
      <c r="K137" s="63"/>
      <c r="L137" s="62"/>
      <c r="M137" s="64"/>
      <c r="N137" s="102"/>
      <c r="O137" s="67"/>
      <c r="P137" s="68"/>
      <c r="Q137" s="68"/>
    </row>
    <row r="138" hidden="1">
      <c r="A138" s="109">
        <v>428.0</v>
      </c>
      <c r="B138" s="78" t="s">
        <v>11</v>
      </c>
      <c r="C138" s="57"/>
      <c r="D138" s="56" t="s">
        <v>122</v>
      </c>
      <c r="E138" s="79" t="s">
        <v>123</v>
      </c>
      <c r="F138" s="66" t="s">
        <v>124</v>
      </c>
      <c r="G138" s="66" t="s">
        <v>125</v>
      </c>
      <c r="H138" s="66" t="s">
        <v>126</v>
      </c>
      <c r="I138" s="67" t="s">
        <v>127</v>
      </c>
      <c r="J138" s="62" t="s">
        <v>117</v>
      </c>
      <c r="K138" s="72">
        <v>45736.0</v>
      </c>
      <c r="L138" s="103"/>
      <c r="M138" s="67" t="s">
        <v>230</v>
      </c>
      <c r="N138" s="67">
        <v>14.0</v>
      </c>
      <c r="O138" s="68"/>
      <c r="P138" s="68"/>
      <c r="Q138" s="68"/>
    </row>
    <row r="139" hidden="1">
      <c r="A139" s="109">
        <v>428.0</v>
      </c>
      <c r="B139" s="78" t="s">
        <v>11</v>
      </c>
      <c r="C139" s="90"/>
      <c r="D139" s="91"/>
      <c r="E139" s="89"/>
      <c r="F139" s="58" t="s">
        <v>137</v>
      </c>
      <c r="G139" s="92" t="s">
        <v>194</v>
      </c>
      <c r="H139" s="92" t="s">
        <v>194</v>
      </c>
      <c r="I139" s="87" t="s">
        <v>231</v>
      </c>
      <c r="J139" s="62" t="s">
        <v>117</v>
      </c>
      <c r="K139" s="72">
        <v>45756.0</v>
      </c>
      <c r="L139" s="103"/>
      <c r="M139" s="67" t="s">
        <v>232</v>
      </c>
      <c r="N139" s="67">
        <v>15.0</v>
      </c>
      <c r="O139" s="67" t="s">
        <v>233</v>
      </c>
      <c r="P139" s="105"/>
      <c r="Q139" s="105"/>
    </row>
    <row r="140" hidden="1">
      <c r="A140" s="104">
        <v>428.0</v>
      </c>
      <c r="B140" s="89" t="s">
        <v>11</v>
      </c>
      <c r="C140" s="90"/>
      <c r="D140" s="91"/>
      <c r="E140" s="90"/>
      <c r="F140" s="58" t="s">
        <v>137</v>
      </c>
      <c r="G140" s="111" t="s">
        <v>194</v>
      </c>
      <c r="H140" s="93" t="s">
        <v>194</v>
      </c>
      <c r="I140" s="94" t="s">
        <v>234</v>
      </c>
      <c r="J140" s="62" t="s">
        <v>117</v>
      </c>
      <c r="K140" s="72">
        <v>45777.0</v>
      </c>
      <c r="L140" s="103"/>
      <c r="M140" s="67" t="s">
        <v>235</v>
      </c>
      <c r="N140" s="67">
        <v>20.0</v>
      </c>
      <c r="O140" s="68"/>
      <c r="P140" s="68"/>
      <c r="Q140" s="68"/>
    </row>
    <row r="141" hidden="1">
      <c r="A141" s="104">
        <v>428.0</v>
      </c>
      <c r="B141" s="129" t="s">
        <v>11</v>
      </c>
      <c r="C141" s="130"/>
      <c r="D141" s="131"/>
      <c r="E141" s="130"/>
      <c r="F141" s="58" t="s">
        <v>137</v>
      </c>
      <c r="G141" s="132" t="s">
        <v>129</v>
      </c>
      <c r="H141" s="92" t="s">
        <v>138</v>
      </c>
      <c r="I141" s="133" t="s">
        <v>236</v>
      </c>
      <c r="J141" s="62" t="s">
        <v>117</v>
      </c>
      <c r="K141" s="72">
        <v>45777.0</v>
      </c>
      <c r="L141" s="103"/>
      <c r="M141" s="67" t="s">
        <v>237</v>
      </c>
      <c r="N141" s="67">
        <v>55.0</v>
      </c>
      <c r="O141" s="67" t="s">
        <v>238</v>
      </c>
      <c r="P141" s="105"/>
      <c r="Q141" s="105"/>
    </row>
    <row r="142" hidden="1">
      <c r="A142" s="106">
        <v>428.0</v>
      </c>
      <c r="B142" s="82" t="s">
        <v>11</v>
      </c>
      <c r="C142" s="97"/>
      <c r="D142" s="96"/>
      <c r="E142" s="98"/>
      <c r="F142" s="66" t="s">
        <v>124</v>
      </c>
      <c r="G142" s="58" t="s">
        <v>129</v>
      </c>
      <c r="H142" s="86" t="s">
        <v>130</v>
      </c>
      <c r="I142" s="61" t="s">
        <v>142</v>
      </c>
      <c r="J142" s="62" t="s">
        <v>117</v>
      </c>
      <c r="K142" s="63">
        <v>45818.0</v>
      </c>
      <c r="L142" s="99"/>
      <c r="M142" s="64" t="s">
        <v>143</v>
      </c>
      <c r="N142" s="65">
        <v>15.0</v>
      </c>
      <c r="O142" s="67"/>
      <c r="P142" s="68"/>
      <c r="Q142" s="68"/>
    </row>
    <row r="143" hidden="1">
      <c r="A143" s="106">
        <v>428.0</v>
      </c>
      <c r="B143" s="82" t="s">
        <v>11</v>
      </c>
      <c r="C143" s="97"/>
      <c r="D143" s="96"/>
      <c r="E143" s="98"/>
      <c r="F143" s="66" t="s">
        <v>124</v>
      </c>
      <c r="G143" s="66" t="s">
        <v>125</v>
      </c>
      <c r="H143" s="86" t="s">
        <v>130</v>
      </c>
      <c r="I143" s="61" t="s">
        <v>144</v>
      </c>
      <c r="J143" s="62" t="s">
        <v>117</v>
      </c>
      <c r="K143" s="63">
        <v>45818.0</v>
      </c>
      <c r="L143" s="99"/>
      <c r="M143" s="64" t="s">
        <v>145</v>
      </c>
      <c r="N143" s="65">
        <v>5.0</v>
      </c>
      <c r="O143" s="67"/>
      <c r="P143" s="68"/>
      <c r="Q143" s="68"/>
    </row>
    <row r="144" hidden="1">
      <c r="A144" s="106">
        <v>428.0</v>
      </c>
      <c r="B144" s="82" t="s">
        <v>11</v>
      </c>
      <c r="C144" s="97"/>
      <c r="D144" s="96"/>
      <c r="E144" s="98"/>
      <c r="F144" s="66" t="s">
        <v>124</v>
      </c>
      <c r="G144" s="66" t="s">
        <v>125</v>
      </c>
      <c r="H144" s="86" t="s">
        <v>146</v>
      </c>
      <c r="I144" s="61" t="s">
        <v>147</v>
      </c>
      <c r="J144" s="62" t="s">
        <v>117</v>
      </c>
      <c r="K144" s="63">
        <v>45818.0</v>
      </c>
      <c r="L144" s="62" t="s">
        <v>118</v>
      </c>
      <c r="M144" s="64" t="s">
        <v>148</v>
      </c>
      <c r="N144" s="65">
        <v>8.0</v>
      </c>
      <c r="O144" s="67" t="s">
        <v>149</v>
      </c>
      <c r="P144" s="68"/>
      <c r="Q144" s="68"/>
    </row>
    <row r="145" hidden="1">
      <c r="A145" s="106">
        <v>428.0</v>
      </c>
      <c r="B145" s="78" t="s">
        <v>11</v>
      </c>
      <c r="C145" s="83"/>
      <c r="D145" s="84"/>
      <c r="E145" s="83"/>
      <c r="F145" s="58" t="s">
        <v>116</v>
      </c>
      <c r="G145" s="85"/>
      <c r="H145" s="92" t="s">
        <v>157</v>
      </c>
      <c r="I145" s="87" t="s">
        <v>239</v>
      </c>
      <c r="J145" s="62" t="s">
        <v>117</v>
      </c>
      <c r="K145" s="63">
        <v>45820.0</v>
      </c>
      <c r="L145" s="62" t="s">
        <v>118</v>
      </c>
      <c r="M145" s="87" t="s">
        <v>240</v>
      </c>
      <c r="N145" s="65">
        <v>25.0</v>
      </c>
      <c r="O145" s="67" t="s">
        <v>165</v>
      </c>
      <c r="P145" s="68"/>
      <c r="Q145" s="68"/>
    </row>
    <row r="146">
      <c r="A146" s="109">
        <v>428.0</v>
      </c>
      <c r="B146" s="78" t="s">
        <v>11</v>
      </c>
      <c r="C146" s="101">
        <v>45702.0</v>
      </c>
      <c r="D146" s="56" t="s">
        <v>241</v>
      </c>
      <c r="E146" s="90" t="s">
        <v>242</v>
      </c>
      <c r="F146" s="58" t="s">
        <v>116</v>
      </c>
      <c r="G146" s="59"/>
      <c r="H146" s="60"/>
      <c r="I146" s="61"/>
      <c r="J146" s="62"/>
      <c r="K146" s="63"/>
      <c r="L146" s="62"/>
      <c r="M146" s="64"/>
      <c r="N146" s="102"/>
      <c r="O146" s="67"/>
      <c r="P146" s="68"/>
      <c r="Q146" s="68"/>
    </row>
    <row r="147" hidden="1">
      <c r="A147" s="100">
        <v>429.0</v>
      </c>
      <c r="B147" s="78" t="s">
        <v>11</v>
      </c>
      <c r="C147" s="57"/>
      <c r="D147" s="56" t="s">
        <v>122</v>
      </c>
      <c r="E147" s="79" t="s">
        <v>123</v>
      </c>
      <c r="F147" s="66" t="s">
        <v>124</v>
      </c>
      <c r="G147" s="66" t="s">
        <v>125</v>
      </c>
      <c r="H147" s="66" t="s">
        <v>126</v>
      </c>
      <c r="I147" s="67" t="s">
        <v>127</v>
      </c>
      <c r="J147" s="62" t="s">
        <v>117</v>
      </c>
      <c r="K147" s="72">
        <v>45736.0</v>
      </c>
      <c r="L147" s="103"/>
      <c r="M147" s="67" t="s">
        <v>243</v>
      </c>
      <c r="N147" s="67">
        <v>18.0</v>
      </c>
      <c r="O147" s="68"/>
      <c r="P147" s="68"/>
      <c r="Q147" s="68"/>
    </row>
    <row r="148" hidden="1">
      <c r="A148" s="106">
        <v>429.0</v>
      </c>
      <c r="B148" s="82" t="s">
        <v>11</v>
      </c>
      <c r="C148" s="83"/>
      <c r="D148" s="84"/>
      <c r="E148" s="83"/>
      <c r="F148" s="66" t="s">
        <v>124</v>
      </c>
      <c r="G148" s="85" t="s">
        <v>129</v>
      </c>
      <c r="H148" s="86" t="s">
        <v>130</v>
      </c>
      <c r="I148" s="87" t="s">
        <v>131</v>
      </c>
      <c r="J148" s="62" t="s">
        <v>117</v>
      </c>
      <c r="K148" s="63">
        <v>45789.0</v>
      </c>
      <c r="L148" s="75"/>
      <c r="M148" s="68"/>
      <c r="N148" s="65">
        <v>25.0</v>
      </c>
      <c r="O148" s="67" t="s">
        <v>165</v>
      </c>
      <c r="P148" s="68"/>
      <c r="Q148" s="68"/>
    </row>
    <row r="149" hidden="1">
      <c r="A149" s="104">
        <v>429.0</v>
      </c>
      <c r="B149" s="89" t="s">
        <v>11</v>
      </c>
      <c r="C149" s="90"/>
      <c r="D149" s="91"/>
      <c r="E149" s="90"/>
      <c r="F149" s="58" t="s">
        <v>137</v>
      </c>
      <c r="G149" s="134" t="s">
        <v>129</v>
      </c>
      <c r="H149" s="93" t="s">
        <v>160</v>
      </c>
      <c r="I149" s="108" t="s">
        <v>167</v>
      </c>
      <c r="J149" s="62" t="s">
        <v>117</v>
      </c>
      <c r="K149" s="72">
        <v>45790.0</v>
      </c>
      <c r="L149" s="66" t="s">
        <v>118</v>
      </c>
      <c r="M149" s="67" t="s">
        <v>244</v>
      </c>
      <c r="N149" s="67">
        <v>25.0</v>
      </c>
      <c r="O149" s="67" t="s">
        <v>169</v>
      </c>
      <c r="P149" s="68"/>
      <c r="Q149" s="68"/>
    </row>
    <row r="150" hidden="1">
      <c r="A150" s="104">
        <v>429.0</v>
      </c>
      <c r="B150" s="135" t="s">
        <v>11</v>
      </c>
      <c r="C150" s="136"/>
      <c r="D150" s="136"/>
      <c r="E150" s="136"/>
      <c r="F150" s="58" t="s">
        <v>137</v>
      </c>
      <c r="G150" s="134" t="s">
        <v>129</v>
      </c>
      <c r="H150" s="93" t="s">
        <v>160</v>
      </c>
      <c r="I150" s="137" t="s">
        <v>170</v>
      </c>
      <c r="J150" s="138" t="s">
        <v>117</v>
      </c>
      <c r="K150" s="139">
        <v>45790.0</v>
      </c>
      <c r="L150" s="103"/>
      <c r="M150" s="67" t="s">
        <v>171</v>
      </c>
      <c r="N150" s="67">
        <v>15.0</v>
      </c>
      <c r="O150" s="67" t="s">
        <v>172</v>
      </c>
      <c r="P150" s="68"/>
      <c r="Q150" s="68"/>
    </row>
    <row r="151" hidden="1">
      <c r="A151" s="104">
        <v>429.0</v>
      </c>
      <c r="B151" s="89" t="s">
        <v>11</v>
      </c>
      <c r="C151" s="90"/>
      <c r="D151" s="91"/>
      <c r="E151" s="90"/>
      <c r="F151" s="66" t="s">
        <v>124</v>
      </c>
      <c r="G151" s="92" t="s">
        <v>133</v>
      </c>
      <c r="H151" s="93" t="s">
        <v>134</v>
      </c>
      <c r="I151" s="94" t="s">
        <v>135</v>
      </c>
      <c r="J151" s="62" t="s">
        <v>117</v>
      </c>
      <c r="K151" s="72">
        <v>45796.0</v>
      </c>
      <c r="L151" s="103"/>
      <c r="M151" s="67"/>
      <c r="N151" s="67">
        <v>75.0</v>
      </c>
      <c r="O151" s="67" t="s">
        <v>136</v>
      </c>
      <c r="P151" s="68"/>
      <c r="Q151" s="68"/>
    </row>
    <row r="152" hidden="1">
      <c r="A152" s="97">
        <v>429.0</v>
      </c>
      <c r="B152" s="96" t="s">
        <v>11</v>
      </c>
      <c r="C152" s="97"/>
      <c r="D152" s="96"/>
      <c r="E152" s="98"/>
      <c r="F152" s="58" t="s">
        <v>137</v>
      </c>
      <c r="G152" s="58" t="s">
        <v>129</v>
      </c>
      <c r="H152" s="86" t="s">
        <v>138</v>
      </c>
      <c r="I152" s="61" t="s">
        <v>139</v>
      </c>
      <c r="J152" s="62" t="s">
        <v>117</v>
      </c>
      <c r="K152" s="63">
        <v>45796.0</v>
      </c>
      <c r="L152" s="62" t="s">
        <v>118</v>
      </c>
      <c r="M152" s="64" t="s">
        <v>140</v>
      </c>
      <c r="N152" s="65">
        <v>6.0</v>
      </c>
      <c r="O152" s="67" t="s">
        <v>141</v>
      </c>
      <c r="P152" s="68"/>
      <c r="Q152" s="68"/>
    </row>
    <row r="153" hidden="1">
      <c r="A153" s="104">
        <v>429.0</v>
      </c>
      <c r="B153" s="89" t="s">
        <v>11</v>
      </c>
      <c r="C153" s="90"/>
      <c r="D153" s="91"/>
      <c r="E153" s="90"/>
      <c r="F153" s="58" t="s">
        <v>137</v>
      </c>
      <c r="G153" s="111" t="s">
        <v>129</v>
      </c>
      <c r="H153" s="93" t="s">
        <v>160</v>
      </c>
      <c r="I153" s="94" t="s">
        <v>173</v>
      </c>
      <c r="J153" s="62" t="s">
        <v>117</v>
      </c>
      <c r="K153" s="72">
        <v>45782.0</v>
      </c>
      <c r="L153" s="92"/>
      <c r="M153" s="87" t="s">
        <v>245</v>
      </c>
      <c r="N153" s="67">
        <v>25.0</v>
      </c>
      <c r="O153" s="68"/>
      <c r="P153" s="68"/>
      <c r="Q153" s="68"/>
    </row>
    <row r="154" hidden="1">
      <c r="A154" s="106">
        <v>429.0</v>
      </c>
      <c r="B154" s="82" t="s">
        <v>11</v>
      </c>
      <c r="C154" s="97"/>
      <c r="D154" s="96"/>
      <c r="E154" s="98"/>
      <c r="F154" s="66" t="s">
        <v>124</v>
      </c>
      <c r="G154" s="58" t="s">
        <v>129</v>
      </c>
      <c r="H154" s="86" t="s">
        <v>130</v>
      </c>
      <c r="I154" s="61" t="s">
        <v>142</v>
      </c>
      <c r="J154" s="62" t="s">
        <v>117</v>
      </c>
      <c r="K154" s="63">
        <v>45818.0</v>
      </c>
      <c r="L154" s="99"/>
      <c r="M154" s="64" t="s">
        <v>143</v>
      </c>
      <c r="N154" s="65">
        <v>15.0</v>
      </c>
      <c r="O154" s="67"/>
      <c r="P154" s="68"/>
      <c r="Q154" s="68"/>
    </row>
    <row r="155" hidden="1">
      <c r="A155" s="106">
        <v>429.0</v>
      </c>
      <c r="B155" s="82" t="s">
        <v>11</v>
      </c>
      <c r="C155" s="97"/>
      <c r="D155" s="96"/>
      <c r="E155" s="98"/>
      <c r="F155" s="66" t="s">
        <v>124</v>
      </c>
      <c r="G155" s="66" t="s">
        <v>125</v>
      </c>
      <c r="H155" s="86" t="s">
        <v>130</v>
      </c>
      <c r="I155" s="61" t="s">
        <v>144</v>
      </c>
      <c r="J155" s="62" t="s">
        <v>117</v>
      </c>
      <c r="K155" s="63">
        <v>45818.0</v>
      </c>
      <c r="L155" s="99"/>
      <c r="M155" s="64" t="s">
        <v>145</v>
      </c>
      <c r="N155" s="65">
        <v>5.0</v>
      </c>
      <c r="O155" s="67"/>
      <c r="P155" s="68"/>
      <c r="Q155" s="68"/>
    </row>
    <row r="156" hidden="1">
      <c r="A156" s="106">
        <v>429.0</v>
      </c>
      <c r="B156" s="82" t="s">
        <v>11</v>
      </c>
      <c r="C156" s="97"/>
      <c r="D156" s="96"/>
      <c r="E156" s="98"/>
      <c r="F156" s="66" t="s">
        <v>124</v>
      </c>
      <c r="G156" s="66" t="s">
        <v>125</v>
      </c>
      <c r="H156" s="86" t="s">
        <v>146</v>
      </c>
      <c r="I156" s="61" t="s">
        <v>147</v>
      </c>
      <c r="J156" s="62" t="s">
        <v>117</v>
      </c>
      <c r="K156" s="63">
        <v>45818.0</v>
      </c>
      <c r="L156" s="62" t="s">
        <v>118</v>
      </c>
      <c r="M156" s="64" t="s">
        <v>148</v>
      </c>
      <c r="N156" s="65">
        <v>8.0</v>
      </c>
      <c r="O156" s="67" t="s">
        <v>149</v>
      </c>
      <c r="P156" s="68"/>
      <c r="Q156" s="68"/>
    </row>
    <row r="157">
      <c r="A157" s="100">
        <v>429.0</v>
      </c>
      <c r="B157" s="78" t="s">
        <v>11</v>
      </c>
      <c r="C157" s="101">
        <v>45702.0</v>
      </c>
      <c r="D157" s="56" t="s">
        <v>246</v>
      </c>
      <c r="E157" s="90" t="s">
        <v>242</v>
      </c>
      <c r="F157" s="58" t="s">
        <v>116</v>
      </c>
      <c r="G157" s="59"/>
      <c r="H157" s="60"/>
      <c r="I157" s="61"/>
      <c r="J157" s="62"/>
      <c r="K157" s="63"/>
      <c r="L157" s="62"/>
      <c r="M157" s="64"/>
      <c r="N157" s="102"/>
      <c r="O157" s="67"/>
      <c r="P157" s="68"/>
      <c r="Q157" s="68"/>
    </row>
    <row r="158" hidden="1">
      <c r="A158" s="100">
        <v>430.0</v>
      </c>
      <c r="B158" s="78" t="s">
        <v>11</v>
      </c>
      <c r="C158" s="57"/>
      <c r="D158" s="56" t="s">
        <v>122</v>
      </c>
      <c r="E158" s="79" t="s">
        <v>123</v>
      </c>
      <c r="F158" s="66" t="s">
        <v>124</v>
      </c>
      <c r="G158" s="66" t="s">
        <v>125</v>
      </c>
      <c r="H158" s="66" t="s">
        <v>126</v>
      </c>
      <c r="I158" s="67" t="s">
        <v>127</v>
      </c>
      <c r="J158" s="62" t="s">
        <v>117</v>
      </c>
      <c r="K158" s="72">
        <v>45736.0</v>
      </c>
      <c r="L158" s="103"/>
      <c r="M158" s="67" t="s">
        <v>247</v>
      </c>
      <c r="N158" s="67">
        <v>10.0</v>
      </c>
      <c r="O158" s="68"/>
      <c r="P158" s="68"/>
      <c r="Q158" s="68"/>
    </row>
    <row r="159" hidden="1">
      <c r="A159" s="109">
        <v>430.0</v>
      </c>
      <c r="B159" s="89" t="s">
        <v>11</v>
      </c>
      <c r="C159" s="90"/>
      <c r="D159" s="91"/>
      <c r="E159" s="89"/>
      <c r="F159" s="58" t="s">
        <v>137</v>
      </c>
      <c r="G159" s="111" t="s">
        <v>129</v>
      </c>
      <c r="H159" s="92" t="s">
        <v>138</v>
      </c>
      <c r="I159" s="87" t="s">
        <v>248</v>
      </c>
      <c r="J159" s="62" t="s">
        <v>117</v>
      </c>
      <c r="K159" s="72">
        <v>45755.0</v>
      </c>
      <c r="L159" s="140"/>
      <c r="M159" s="87" t="s">
        <v>249</v>
      </c>
      <c r="N159" s="67">
        <v>50.0</v>
      </c>
      <c r="O159" s="67" t="s">
        <v>186</v>
      </c>
      <c r="P159" s="105"/>
      <c r="Q159" s="105"/>
    </row>
    <row r="160" hidden="1">
      <c r="A160" s="106">
        <v>430.0</v>
      </c>
      <c r="B160" s="82" t="s">
        <v>11</v>
      </c>
      <c r="C160" s="97"/>
      <c r="D160" s="96"/>
      <c r="E160" s="98"/>
      <c r="F160" s="66" t="s">
        <v>124</v>
      </c>
      <c r="G160" s="58" t="s">
        <v>129</v>
      </c>
      <c r="H160" s="86" t="s">
        <v>130</v>
      </c>
      <c r="I160" s="61" t="s">
        <v>142</v>
      </c>
      <c r="J160" s="62" t="s">
        <v>117</v>
      </c>
      <c r="K160" s="63">
        <v>45818.0</v>
      </c>
      <c r="L160" s="99"/>
      <c r="M160" s="64" t="s">
        <v>143</v>
      </c>
      <c r="N160" s="65">
        <v>15.0</v>
      </c>
      <c r="O160" s="67"/>
      <c r="P160" s="68"/>
      <c r="Q160" s="68"/>
    </row>
    <row r="161" hidden="1">
      <c r="A161" s="106">
        <v>430.0</v>
      </c>
      <c r="B161" s="82" t="s">
        <v>11</v>
      </c>
      <c r="C161" s="97"/>
      <c r="D161" s="96"/>
      <c r="E161" s="98"/>
      <c r="F161" s="66" t="s">
        <v>124</v>
      </c>
      <c r="G161" s="66" t="s">
        <v>125</v>
      </c>
      <c r="H161" s="86" t="s">
        <v>130</v>
      </c>
      <c r="I161" s="61" t="s">
        <v>144</v>
      </c>
      <c r="J161" s="62" t="s">
        <v>117</v>
      </c>
      <c r="K161" s="63">
        <v>45818.0</v>
      </c>
      <c r="L161" s="99"/>
      <c r="M161" s="64" t="s">
        <v>145</v>
      </c>
      <c r="N161" s="65">
        <v>5.0</v>
      </c>
      <c r="O161" s="67"/>
      <c r="P161" s="68"/>
      <c r="Q161" s="68"/>
    </row>
    <row r="162" hidden="1">
      <c r="A162" s="106">
        <v>430.0</v>
      </c>
      <c r="B162" s="82" t="s">
        <v>11</v>
      </c>
      <c r="C162" s="97"/>
      <c r="D162" s="96"/>
      <c r="E162" s="98"/>
      <c r="F162" s="66" t="s">
        <v>124</v>
      </c>
      <c r="G162" s="66" t="s">
        <v>125</v>
      </c>
      <c r="H162" s="86" t="s">
        <v>146</v>
      </c>
      <c r="I162" s="61" t="s">
        <v>147</v>
      </c>
      <c r="J162" s="62" t="s">
        <v>117</v>
      </c>
      <c r="K162" s="63">
        <v>45818.0</v>
      </c>
      <c r="L162" s="62" t="s">
        <v>118</v>
      </c>
      <c r="M162" s="64" t="s">
        <v>148</v>
      </c>
      <c r="N162" s="65">
        <v>8.0</v>
      </c>
      <c r="O162" s="67" t="s">
        <v>149</v>
      </c>
      <c r="P162" s="68"/>
      <c r="Q162" s="68"/>
    </row>
    <row r="163" hidden="1">
      <c r="A163" s="104">
        <v>430.0</v>
      </c>
      <c r="B163" s="78" t="s">
        <v>11</v>
      </c>
      <c r="C163" s="90"/>
      <c r="D163" s="91"/>
      <c r="E163" s="89"/>
      <c r="F163" s="58" t="s">
        <v>116</v>
      </c>
      <c r="G163" s="85"/>
      <c r="H163" s="92" t="s">
        <v>157</v>
      </c>
      <c r="I163" s="87" t="s">
        <v>239</v>
      </c>
      <c r="J163" s="62" t="s">
        <v>117</v>
      </c>
      <c r="K163" s="72">
        <v>45820.0</v>
      </c>
      <c r="L163" s="92" t="s">
        <v>118</v>
      </c>
      <c r="M163" s="87" t="s">
        <v>250</v>
      </c>
      <c r="N163" s="67">
        <v>25.0</v>
      </c>
      <c r="O163" s="67"/>
      <c r="P163" s="105"/>
      <c r="Q163" s="105"/>
    </row>
    <row r="164">
      <c r="A164" s="100">
        <v>430.0</v>
      </c>
      <c r="B164" s="78" t="s">
        <v>11</v>
      </c>
      <c r="C164" s="101">
        <v>45702.0</v>
      </c>
      <c r="D164" s="56" t="s">
        <v>251</v>
      </c>
      <c r="E164" s="90" t="s">
        <v>242</v>
      </c>
      <c r="F164" s="58" t="s">
        <v>116</v>
      </c>
      <c r="G164" s="59"/>
      <c r="H164" s="60"/>
      <c r="I164" s="61"/>
      <c r="J164" s="62"/>
      <c r="K164" s="63"/>
      <c r="L164" s="62"/>
      <c r="M164" s="64"/>
      <c r="N164" s="102"/>
      <c r="O164" s="67"/>
      <c r="P164" s="68"/>
      <c r="Q164" s="68"/>
    </row>
    <row r="165" hidden="1">
      <c r="A165" s="100">
        <v>431.0</v>
      </c>
      <c r="B165" s="78" t="s">
        <v>11</v>
      </c>
      <c r="C165" s="57"/>
      <c r="D165" s="56" t="s">
        <v>122</v>
      </c>
      <c r="E165" s="79" t="s">
        <v>123</v>
      </c>
      <c r="F165" s="66" t="s">
        <v>124</v>
      </c>
      <c r="G165" s="66" t="s">
        <v>125</v>
      </c>
      <c r="H165" s="66" t="s">
        <v>126</v>
      </c>
      <c r="I165" s="67" t="s">
        <v>127</v>
      </c>
      <c r="J165" s="62" t="s">
        <v>117</v>
      </c>
      <c r="K165" s="72">
        <v>45736.0</v>
      </c>
      <c r="L165" s="103"/>
      <c r="M165" s="67" t="s">
        <v>252</v>
      </c>
      <c r="N165" s="67">
        <v>11.0</v>
      </c>
      <c r="O165" s="68"/>
      <c r="P165" s="68"/>
      <c r="Q165" s="68"/>
    </row>
    <row r="166" hidden="1">
      <c r="A166" s="109">
        <v>431.0</v>
      </c>
      <c r="B166" s="89" t="s">
        <v>11</v>
      </c>
      <c r="C166" s="90"/>
      <c r="D166" s="91"/>
      <c r="E166" s="89"/>
      <c r="F166" s="58" t="s">
        <v>137</v>
      </c>
      <c r="G166" s="111" t="s">
        <v>129</v>
      </c>
      <c r="H166" s="86" t="s">
        <v>134</v>
      </c>
      <c r="I166" s="94" t="s">
        <v>253</v>
      </c>
      <c r="J166" s="62" t="s">
        <v>117</v>
      </c>
      <c r="K166" s="72">
        <v>45778.0</v>
      </c>
      <c r="L166" s="140"/>
      <c r="M166" s="87" t="s">
        <v>254</v>
      </c>
      <c r="N166" s="67">
        <v>18.0</v>
      </c>
      <c r="O166" s="141"/>
      <c r="P166" s="142"/>
      <c r="Q166" s="142"/>
    </row>
    <row r="167" hidden="1">
      <c r="A167" s="106">
        <v>431.0</v>
      </c>
      <c r="B167" s="82" t="s">
        <v>11</v>
      </c>
      <c r="C167" s="83"/>
      <c r="D167" s="84"/>
      <c r="E167" s="83"/>
      <c r="F167" s="66" t="s">
        <v>124</v>
      </c>
      <c r="G167" s="85" t="s">
        <v>129</v>
      </c>
      <c r="H167" s="86" t="s">
        <v>130</v>
      </c>
      <c r="I167" s="87" t="s">
        <v>131</v>
      </c>
      <c r="J167" s="62" t="s">
        <v>117</v>
      </c>
      <c r="K167" s="63">
        <v>45789.0</v>
      </c>
      <c r="L167" s="75"/>
      <c r="M167" s="68"/>
      <c r="N167" s="65">
        <v>25.0</v>
      </c>
      <c r="O167" s="67" t="s">
        <v>165</v>
      </c>
      <c r="P167" s="68"/>
      <c r="Q167" s="68"/>
    </row>
    <row r="168" hidden="1">
      <c r="A168" s="104">
        <v>431.0</v>
      </c>
      <c r="B168" s="89" t="s">
        <v>11</v>
      </c>
      <c r="C168" s="90"/>
      <c r="D168" s="91"/>
      <c r="E168" s="90"/>
      <c r="F168" s="66" t="s">
        <v>124</v>
      </c>
      <c r="G168" s="92" t="s">
        <v>133</v>
      </c>
      <c r="H168" s="93" t="s">
        <v>134</v>
      </c>
      <c r="I168" s="94" t="s">
        <v>135</v>
      </c>
      <c r="J168" s="62" t="s">
        <v>117</v>
      </c>
      <c r="K168" s="72">
        <v>45790.0</v>
      </c>
      <c r="L168" s="103"/>
      <c r="M168" s="67"/>
      <c r="N168" s="67">
        <v>75.0</v>
      </c>
      <c r="O168" s="67" t="s">
        <v>136</v>
      </c>
      <c r="P168" s="68"/>
      <c r="Q168" s="68"/>
    </row>
    <row r="169" hidden="1">
      <c r="A169" s="104">
        <v>431.0</v>
      </c>
      <c r="B169" s="89" t="s">
        <v>11</v>
      </c>
      <c r="C169" s="90"/>
      <c r="D169" s="91"/>
      <c r="E169" s="90"/>
      <c r="F169" s="58" t="s">
        <v>137</v>
      </c>
      <c r="G169" s="92" t="s">
        <v>129</v>
      </c>
      <c r="H169" s="93" t="s">
        <v>160</v>
      </c>
      <c r="I169" s="108" t="s">
        <v>255</v>
      </c>
      <c r="J169" s="62" t="s">
        <v>117</v>
      </c>
      <c r="K169" s="72">
        <v>45790.0</v>
      </c>
      <c r="L169" s="66" t="s">
        <v>118</v>
      </c>
      <c r="M169" s="67" t="s">
        <v>244</v>
      </c>
      <c r="N169" s="67">
        <v>25.0</v>
      </c>
      <c r="O169" s="67" t="s">
        <v>169</v>
      </c>
      <c r="P169" s="68"/>
      <c r="Q169" s="68"/>
    </row>
    <row r="170" hidden="1">
      <c r="A170" s="104">
        <v>431.0</v>
      </c>
      <c r="B170" s="135" t="s">
        <v>11</v>
      </c>
      <c r="C170" s="136"/>
      <c r="D170" s="136"/>
      <c r="E170" s="136"/>
      <c r="F170" s="58" t="s">
        <v>137</v>
      </c>
      <c r="G170" s="134" t="s">
        <v>129</v>
      </c>
      <c r="H170" s="93" t="s">
        <v>160</v>
      </c>
      <c r="I170" s="143" t="s">
        <v>170</v>
      </c>
      <c r="J170" s="138" t="s">
        <v>117</v>
      </c>
      <c r="K170" s="139">
        <v>45790.0</v>
      </c>
      <c r="L170" s="103"/>
      <c r="M170" s="67" t="s">
        <v>171</v>
      </c>
      <c r="N170" s="67">
        <v>15.0</v>
      </c>
      <c r="O170" s="67" t="s">
        <v>172</v>
      </c>
      <c r="P170" s="68"/>
      <c r="Q170" s="68"/>
    </row>
    <row r="171" hidden="1">
      <c r="A171" s="97">
        <v>431.0</v>
      </c>
      <c r="B171" s="96" t="s">
        <v>11</v>
      </c>
      <c r="C171" s="97"/>
      <c r="D171" s="96"/>
      <c r="E171" s="98"/>
      <c r="F171" s="58" t="s">
        <v>137</v>
      </c>
      <c r="G171" s="58" t="s">
        <v>129</v>
      </c>
      <c r="H171" s="86" t="s">
        <v>138</v>
      </c>
      <c r="I171" s="61" t="s">
        <v>139</v>
      </c>
      <c r="J171" s="62" t="s">
        <v>117</v>
      </c>
      <c r="K171" s="63">
        <v>45796.0</v>
      </c>
      <c r="L171" s="62" t="s">
        <v>118</v>
      </c>
      <c r="M171" s="64" t="s">
        <v>140</v>
      </c>
      <c r="N171" s="65">
        <v>6.0</v>
      </c>
      <c r="O171" s="67" t="s">
        <v>141</v>
      </c>
      <c r="P171" s="68"/>
      <c r="Q171" s="68"/>
    </row>
    <row r="172" hidden="1">
      <c r="A172" s="97">
        <v>431.0</v>
      </c>
      <c r="B172" s="96" t="s">
        <v>11</v>
      </c>
      <c r="C172" s="97"/>
      <c r="D172" s="96"/>
      <c r="E172" s="98"/>
      <c r="F172" s="58" t="s">
        <v>137</v>
      </c>
      <c r="G172" s="66" t="s">
        <v>125</v>
      </c>
      <c r="H172" s="86" t="s">
        <v>146</v>
      </c>
      <c r="I172" s="112" t="s">
        <v>91</v>
      </c>
      <c r="J172" s="62" t="s">
        <v>162</v>
      </c>
      <c r="K172" s="63"/>
      <c r="L172" s="99"/>
      <c r="M172" s="64"/>
      <c r="N172" s="65"/>
      <c r="O172" s="67"/>
      <c r="P172" s="68"/>
      <c r="Q172" s="68"/>
    </row>
    <row r="173" hidden="1">
      <c r="A173" s="106">
        <v>431.0</v>
      </c>
      <c r="B173" s="82" t="s">
        <v>11</v>
      </c>
      <c r="C173" s="97"/>
      <c r="D173" s="96"/>
      <c r="E173" s="98"/>
      <c r="F173" s="66" t="s">
        <v>124</v>
      </c>
      <c r="G173" s="58" t="s">
        <v>129</v>
      </c>
      <c r="H173" s="86" t="s">
        <v>130</v>
      </c>
      <c r="I173" s="61" t="s">
        <v>142</v>
      </c>
      <c r="J173" s="62" t="s">
        <v>117</v>
      </c>
      <c r="K173" s="63">
        <v>45818.0</v>
      </c>
      <c r="L173" s="99"/>
      <c r="M173" s="64" t="s">
        <v>143</v>
      </c>
      <c r="N173" s="65">
        <v>15.0</v>
      </c>
      <c r="O173" s="67"/>
      <c r="P173" s="68"/>
      <c r="Q173" s="68"/>
    </row>
    <row r="174" hidden="1">
      <c r="A174" s="106">
        <v>431.0</v>
      </c>
      <c r="B174" s="82" t="s">
        <v>11</v>
      </c>
      <c r="C174" s="97"/>
      <c r="D174" s="96"/>
      <c r="E174" s="98"/>
      <c r="F174" s="66" t="s">
        <v>124</v>
      </c>
      <c r="G174" s="66" t="s">
        <v>125</v>
      </c>
      <c r="H174" s="86" t="s">
        <v>130</v>
      </c>
      <c r="I174" s="61" t="s">
        <v>144</v>
      </c>
      <c r="J174" s="62" t="s">
        <v>117</v>
      </c>
      <c r="K174" s="63">
        <v>45818.0</v>
      </c>
      <c r="L174" s="99"/>
      <c r="M174" s="64" t="s">
        <v>145</v>
      </c>
      <c r="N174" s="65">
        <v>5.0</v>
      </c>
      <c r="O174" s="67"/>
      <c r="P174" s="68"/>
      <c r="Q174" s="68"/>
    </row>
    <row r="175" hidden="1">
      <c r="A175" s="106">
        <v>431.0</v>
      </c>
      <c r="B175" s="82" t="s">
        <v>11</v>
      </c>
      <c r="C175" s="97"/>
      <c r="D175" s="96"/>
      <c r="E175" s="98"/>
      <c r="F175" s="66" t="s">
        <v>124</v>
      </c>
      <c r="G175" s="66" t="s">
        <v>125</v>
      </c>
      <c r="H175" s="86" t="s">
        <v>146</v>
      </c>
      <c r="I175" s="61" t="s">
        <v>147</v>
      </c>
      <c r="J175" s="62" t="s">
        <v>117</v>
      </c>
      <c r="K175" s="63">
        <v>45818.0</v>
      </c>
      <c r="L175" s="62" t="s">
        <v>118</v>
      </c>
      <c r="M175" s="64" t="s">
        <v>148</v>
      </c>
      <c r="N175" s="65">
        <v>8.0</v>
      </c>
      <c r="O175" s="67" t="s">
        <v>149</v>
      </c>
      <c r="P175" s="68"/>
      <c r="Q175" s="68"/>
    </row>
    <row r="176">
      <c r="A176" s="100">
        <v>431.0</v>
      </c>
      <c r="B176" s="78" t="s">
        <v>11</v>
      </c>
      <c r="C176" s="101">
        <v>45702.0</v>
      </c>
      <c r="D176" s="56" t="s">
        <v>256</v>
      </c>
      <c r="E176" s="90" t="s">
        <v>242</v>
      </c>
      <c r="F176" s="58" t="s">
        <v>116</v>
      </c>
      <c r="G176" s="59"/>
      <c r="H176" s="60"/>
      <c r="I176" s="61"/>
      <c r="J176" s="62"/>
      <c r="K176" s="63"/>
      <c r="L176" s="62"/>
      <c r="M176" s="64"/>
      <c r="N176" s="102"/>
      <c r="O176" s="67"/>
      <c r="P176" s="68"/>
      <c r="Q176" s="68"/>
    </row>
    <row r="177" hidden="1">
      <c r="A177" s="97">
        <v>432.0</v>
      </c>
      <c r="B177" s="96" t="s">
        <v>11</v>
      </c>
      <c r="C177" s="97"/>
      <c r="D177" s="96"/>
      <c r="E177" s="98"/>
      <c r="F177" s="58" t="s">
        <v>137</v>
      </c>
      <c r="G177" s="58" t="s">
        <v>129</v>
      </c>
      <c r="H177" s="86" t="s">
        <v>138</v>
      </c>
      <c r="I177" s="61" t="s">
        <v>139</v>
      </c>
      <c r="J177" s="62" t="s">
        <v>117</v>
      </c>
      <c r="K177" s="63" t="s">
        <v>257</v>
      </c>
      <c r="L177" s="62" t="s">
        <v>118</v>
      </c>
      <c r="M177" s="64" t="s">
        <v>140</v>
      </c>
      <c r="N177" s="65">
        <v>6.0</v>
      </c>
      <c r="O177" s="67" t="s">
        <v>141</v>
      </c>
      <c r="P177" s="68"/>
      <c r="Q177" s="68"/>
    </row>
    <row r="178" hidden="1">
      <c r="A178" s="100">
        <v>432.0</v>
      </c>
      <c r="B178" s="78" t="s">
        <v>11</v>
      </c>
      <c r="C178" s="57"/>
      <c r="D178" s="56" t="s">
        <v>122</v>
      </c>
      <c r="E178" s="79" t="s">
        <v>123</v>
      </c>
      <c r="F178" s="66" t="s">
        <v>124</v>
      </c>
      <c r="G178" s="66" t="s">
        <v>125</v>
      </c>
      <c r="H178" s="66" t="s">
        <v>126</v>
      </c>
      <c r="I178" s="67" t="s">
        <v>127</v>
      </c>
      <c r="J178" s="62" t="s">
        <v>117</v>
      </c>
      <c r="K178" s="72">
        <v>45736.0</v>
      </c>
      <c r="L178" s="103"/>
      <c r="M178" s="67" t="s">
        <v>247</v>
      </c>
      <c r="N178" s="67">
        <v>10.0</v>
      </c>
      <c r="O178" s="68"/>
      <c r="P178" s="68"/>
      <c r="Q178" s="68"/>
    </row>
    <row r="179" hidden="1">
      <c r="A179" s="144">
        <v>432.0</v>
      </c>
      <c r="B179" s="145" t="s">
        <v>11</v>
      </c>
      <c r="C179" s="146"/>
      <c r="D179" s="147"/>
      <c r="E179" s="148"/>
      <c r="F179" s="58" t="s">
        <v>137</v>
      </c>
      <c r="G179" s="149" t="s">
        <v>129</v>
      </c>
      <c r="H179" s="150" t="s">
        <v>181</v>
      </c>
      <c r="I179" s="151" t="s">
        <v>203</v>
      </c>
      <c r="J179" s="62" t="s">
        <v>117</v>
      </c>
      <c r="K179" s="72">
        <v>45756.0</v>
      </c>
      <c r="L179" s="103"/>
      <c r="M179" s="67" t="s">
        <v>258</v>
      </c>
      <c r="N179" s="67">
        <v>3.0</v>
      </c>
      <c r="O179" s="67" t="s">
        <v>159</v>
      </c>
      <c r="P179" s="105"/>
      <c r="Q179" s="105"/>
    </row>
    <row r="180" hidden="1">
      <c r="A180" s="106">
        <v>432.0</v>
      </c>
      <c r="B180" s="82" t="s">
        <v>11</v>
      </c>
      <c r="C180" s="83"/>
      <c r="D180" s="84"/>
      <c r="E180" s="83"/>
      <c r="F180" s="66" t="s">
        <v>124</v>
      </c>
      <c r="G180" s="85" t="s">
        <v>129</v>
      </c>
      <c r="H180" s="86" t="s">
        <v>130</v>
      </c>
      <c r="I180" s="87" t="s">
        <v>131</v>
      </c>
      <c r="J180" s="62" t="s">
        <v>117</v>
      </c>
      <c r="K180" s="63">
        <v>45789.0</v>
      </c>
      <c r="L180" s="75"/>
      <c r="M180" s="68"/>
      <c r="N180" s="65">
        <v>25.0</v>
      </c>
      <c r="O180" s="67" t="s">
        <v>165</v>
      </c>
      <c r="P180" s="68"/>
      <c r="Q180" s="68"/>
    </row>
    <row r="181" hidden="1">
      <c r="A181" s="104">
        <v>432.0</v>
      </c>
      <c r="B181" s="89" t="s">
        <v>11</v>
      </c>
      <c r="C181" s="90"/>
      <c r="D181" s="91"/>
      <c r="E181" s="90"/>
      <c r="F181" s="66" t="s">
        <v>124</v>
      </c>
      <c r="G181" s="92" t="s">
        <v>133</v>
      </c>
      <c r="H181" s="93" t="s">
        <v>134</v>
      </c>
      <c r="I181" s="94" t="s">
        <v>135</v>
      </c>
      <c r="J181" s="62" t="s">
        <v>117</v>
      </c>
      <c r="K181" s="72">
        <v>45790.0</v>
      </c>
      <c r="L181" s="103"/>
      <c r="M181" s="67"/>
      <c r="N181" s="67">
        <v>75.0</v>
      </c>
      <c r="O181" s="67" t="s">
        <v>136</v>
      </c>
      <c r="P181" s="68"/>
      <c r="Q181" s="68"/>
    </row>
    <row r="182" hidden="1">
      <c r="A182" s="104">
        <v>432.0</v>
      </c>
      <c r="B182" s="89" t="s">
        <v>11</v>
      </c>
      <c r="C182" s="90"/>
      <c r="D182" s="91"/>
      <c r="E182" s="90"/>
      <c r="F182" s="58" t="s">
        <v>137</v>
      </c>
      <c r="G182" s="92" t="s">
        <v>129</v>
      </c>
      <c r="H182" s="93" t="s">
        <v>160</v>
      </c>
      <c r="I182" s="108" t="s">
        <v>255</v>
      </c>
      <c r="J182" s="62" t="s">
        <v>117</v>
      </c>
      <c r="K182" s="72">
        <v>45790.0</v>
      </c>
      <c r="L182" s="103"/>
      <c r="M182" s="67" t="s">
        <v>244</v>
      </c>
      <c r="N182" s="67">
        <v>25.0</v>
      </c>
      <c r="O182" s="67" t="s">
        <v>169</v>
      </c>
      <c r="P182" s="68"/>
      <c r="Q182" s="68"/>
    </row>
    <row r="183" hidden="1">
      <c r="A183" s="104">
        <v>432.0</v>
      </c>
      <c r="B183" s="135" t="s">
        <v>11</v>
      </c>
      <c r="C183" s="136"/>
      <c r="D183" s="136"/>
      <c r="E183" s="136"/>
      <c r="F183" s="58" t="s">
        <v>137</v>
      </c>
      <c r="G183" s="134" t="s">
        <v>129</v>
      </c>
      <c r="H183" s="93" t="s">
        <v>160</v>
      </c>
      <c r="I183" s="143" t="s">
        <v>170</v>
      </c>
      <c r="J183" s="138" t="s">
        <v>117</v>
      </c>
      <c r="K183" s="139">
        <v>45790.0</v>
      </c>
      <c r="L183" s="66" t="s">
        <v>118</v>
      </c>
      <c r="M183" s="67" t="s">
        <v>171</v>
      </c>
      <c r="N183" s="67">
        <v>15.0</v>
      </c>
      <c r="O183" s="67" t="s">
        <v>172</v>
      </c>
      <c r="P183" s="68"/>
      <c r="Q183" s="68"/>
    </row>
    <row r="184" hidden="1">
      <c r="A184" s="104">
        <v>432.0</v>
      </c>
      <c r="B184" s="135" t="s">
        <v>11</v>
      </c>
      <c r="C184" s="136"/>
      <c r="D184" s="136"/>
      <c r="E184" s="136"/>
      <c r="F184" s="58" t="s">
        <v>137</v>
      </c>
      <c r="G184" s="66" t="s">
        <v>125</v>
      </c>
      <c r="H184" s="93" t="s">
        <v>152</v>
      </c>
      <c r="I184" s="112" t="s">
        <v>259</v>
      </c>
      <c r="J184" s="152" t="s">
        <v>162</v>
      </c>
      <c r="K184" s="139"/>
      <c r="L184" s="103"/>
      <c r="M184" s="67"/>
      <c r="N184" s="67"/>
      <c r="O184" s="67"/>
      <c r="P184" s="68"/>
      <c r="Q184" s="68"/>
    </row>
    <row r="185" hidden="1">
      <c r="A185" s="106">
        <v>432.0</v>
      </c>
      <c r="B185" s="82" t="s">
        <v>11</v>
      </c>
      <c r="C185" s="97"/>
      <c r="D185" s="96"/>
      <c r="E185" s="98"/>
      <c r="F185" s="66" t="s">
        <v>124</v>
      </c>
      <c r="G185" s="58" t="s">
        <v>129</v>
      </c>
      <c r="H185" s="86" t="s">
        <v>130</v>
      </c>
      <c r="I185" s="61" t="s">
        <v>142</v>
      </c>
      <c r="J185" s="62" t="s">
        <v>117</v>
      </c>
      <c r="K185" s="63">
        <v>45818.0</v>
      </c>
      <c r="L185" s="99"/>
      <c r="M185" s="64" t="s">
        <v>143</v>
      </c>
      <c r="N185" s="65">
        <v>15.0</v>
      </c>
      <c r="O185" s="67"/>
      <c r="P185" s="68"/>
      <c r="Q185" s="68"/>
    </row>
    <row r="186" hidden="1">
      <c r="A186" s="106">
        <v>432.0</v>
      </c>
      <c r="B186" s="82" t="s">
        <v>11</v>
      </c>
      <c r="C186" s="97"/>
      <c r="D186" s="96"/>
      <c r="E186" s="98"/>
      <c r="F186" s="66" t="s">
        <v>124</v>
      </c>
      <c r="G186" s="66" t="s">
        <v>125</v>
      </c>
      <c r="H186" s="86" t="s">
        <v>130</v>
      </c>
      <c r="I186" s="61" t="s">
        <v>144</v>
      </c>
      <c r="J186" s="62" t="s">
        <v>117</v>
      </c>
      <c r="K186" s="63">
        <v>45818.0</v>
      </c>
      <c r="L186" s="99"/>
      <c r="M186" s="64" t="s">
        <v>145</v>
      </c>
      <c r="N186" s="65">
        <v>5.0</v>
      </c>
      <c r="O186" s="67"/>
      <c r="P186" s="68"/>
      <c r="Q186" s="68"/>
    </row>
    <row r="187" hidden="1">
      <c r="A187" s="106">
        <v>432.0</v>
      </c>
      <c r="B187" s="82" t="s">
        <v>11</v>
      </c>
      <c r="C187" s="97"/>
      <c r="D187" s="96"/>
      <c r="E187" s="98"/>
      <c r="F187" s="66" t="s">
        <v>124</v>
      </c>
      <c r="G187" s="66" t="s">
        <v>125</v>
      </c>
      <c r="H187" s="86" t="s">
        <v>146</v>
      </c>
      <c r="I187" s="61" t="s">
        <v>147</v>
      </c>
      <c r="J187" s="62" t="s">
        <v>117</v>
      </c>
      <c r="K187" s="63">
        <v>45818.0</v>
      </c>
      <c r="L187" s="62" t="s">
        <v>118</v>
      </c>
      <c r="M187" s="64" t="s">
        <v>148</v>
      </c>
      <c r="N187" s="65">
        <v>8.0</v>
      </c>
      <c r="O187" s="67" t="s">
        <v>149</v>
      </c>
      <c r="P187" s="68"/>
      <c r="Q187" s="68"/>
    </row>
    <row r="188">
      <c r="A188" s="100">
        <v>432.0</v>
      </c>
      <c r="B188" s="78" t="s">
        <v>11</v>
      </c>
      <c r="C188" s="101">
        <v>45702.0</v>
      </c>
      <c r="D188" s="56" t="s">
        <v>260</v>
      </c>
      <c r="E188" s="90" t="s">
        <v>242</v>
      </c>
      <c r="F188" s="58" t="s">
        <v>116</v>
      </c>
      <c r="G188" s="59"/>
      <c r="H188" s="60"/>
      <c r="I188" s="61"/>
      <c r="J188" s="62"/>
      <c r="K188" s="63"/>
      <c r="L188" s="62"/>
      <c r="M188" s="64"/>
      <c r="N188" s="102"/>
      <c r="O188" s="67"/>
      <c r="P188" s="68"/>
      <c r="Q188" s="68"/>
    </row>
    <row r="189" hidden="1">
      <c r="A189" s="100">
        <v>433.0</v>
      </c>
      <c r="B189" s="78" t="s">
        <v>11</v>
      </c>
      <c r="C189" s="57"/>
      <c r="D189" s="56" t="s">
        <v>122</v>
      </c>
      <c r="E189" s="79" t="s">
        <v>123</v>
      </c>
      <c r="F189" s="66" t="s">
        <v>124</v>
      </c>
      <c r="G189" s="66" t="s">
        <v>125</v>
      </c>
      <c r="H189" s="66" t="s">
        <v>126</v>
      </c>
      <c r="I189" s="67" t="s">
        <v>127</v>
      </c>
      <c r="J189" s="62" t="s">
        <v>117</v>
      </c>
      <c r="K189" s="72">
        <v>45736.0</v>
      </c>
      <c r="L189" s="103"/>
      <c r="M189" s="67" t="s">
        <v>261</v>
      </c>
      <c r="N189" s="67">
        <v>17.0</v>
      </c>
      <c r="O189" s="68"/>
      <c r="P189" s="68"/>
      <c r="Q189" s="68"/>
    </row>
    <row r="190" hidden="1">
      <c r="A190" s="100">
        <v>433.0</v>
      </c>
      <c r="B190" s="89" t="s">
        <v>11</v>
      </c>
      <c r="C190" s="90"/>
      <c r="D190" s="91"/>
      <c r="E190" s="89"/>
      <c r="F190" s="58" t="s">
        <v>137</v>
      </c>
      <c r="G190" s="66" t="s">
        <v>125</v>
      </c>
      <c r="H190" s="93" t="s">
        <v>152</v>
      </c>
      <c r="I190" s="67" t="s">
        <v>262</v>
      </c>
      <c r="J190" s="62" t="s">
        <v>117</v>
      </c>
      <c r="K190" s="72">
        <v>45777.0</v>
      </c>
      <c r="L190" s="66" t="s">
        <v>118</v>
      </c>
      <c r="M190" s="67" t="s">
        <v>263</v>
      </c>
      <c r="N190" s="67">
        <v>32.0</v>
      </c>
      <c r="O190" s="67" t="s">
        <v>264</v>
      </c>
      <c r="P190" s="105"/>
      <c r="Q190" s="105"/>
    </row>
    <row r="191" hidden="1">
      <c r="A191" s="100">
        <v>433.0</v>
      </c>
      <c r="B191" s="89" t="s">
        <v>11</v>
      </c>
      <c r="C191" s="90"/>
      <c r="D191" s="91"/>
      <c r="E191" s="89"/>
      <c r="F191" s="58" t="s">
        <v>137</v>
      </c>
      <c r="G191" s="92" t="s">
        <v>156</v>
      </c>
      <c r="H191" s="93" t="s">
        <v>157</v>
      </c>
      <c r="I191" s="87" t="s">
        <v>156</v>
      </c>
      <c r="J191" s="62" t="s">
        <v>117</v>
      </c>
      <c r="K191" s="72">
        <v>45777.0</v>
      </c>
      <c r="L191" s="66" t="s">
        <v>118</v>
      </c>
      <c r="M191" s="67" t="s">
        <v>158</v>
      </c>
      <c r="N191" s="67">
        <v>8.0</v>
      </c>
      <c r="O191" s="67" t="s">
        <v>159</v>
      </c>
      <c r="P191" s="105"/>
      <c r="Q191" s="105"/>
    </row>
    <row r="192" hidden="1">
      <c r="A192" s="106">
        <v>433.0</v>
      </c>
      <c r="B192" s="82" t="s">
        <v>11</v>
      </c>
      <c r="C192" s="83"/>
      <c r="D192" s="84"/>
      <c r="E192" s="83"/>
      <c r="F192" s="66" t="s">
        <v>124</v>
      </c>
      <c r="G192" s="85" t="s">
        <v>129</v>
      </c>
      <c r="H192" s="86" t="s">
        <v>130</v>
      </c>
      <c r="I192" s="87" t="s">
        <v>131</v>
      </c>
      <c r="J192" s="62" t="s">
        <v>117</v>
      </c>
      <c r="K192" s="63">
        <v>45789.0</v>
      </c>
      <c r="L192" s="75"/>
      <c r="M192" s="68"/>
      <c r="N192" s="65">
        <v>25.0</v>
      </c>
      <c r="O192" s="67" t="s">
        <v>165</v>
      </c>
      <c r="P192" s="68"/>
      <c r="Q192" s="68"/>
    </row>
    <row r="193" hidden="1">
      <c r="A193" s="104">
        <v>433.0</v>
      </c>
      <c r="B193" s="89" t="s">
        <v>11</v>
      </c>
      <c r="C193" s="90"/>
      <c r="D193" s="91"/>
      <c r="E193" s="90"/>
      <c r="F193" s="66" t="s">
        <v>124</v>
      </c>
      <c r="G193" s="92" t="s">
        <v>133</v>
      </c>
      <c r="H193" s="93" t="s">
        <v>134</v>
      </c>
      <c r="I193" s="94" t="s">
        <v>135</v>
      </c>
      <c r="J193" s="62" t="s">
        <v>117</v>
      </c>
      <c r="K193" s="72">
        <v>45790.0</v>
      </c>
      <c r="L193" s="103"/>
      <c r="M193" s="67"/>
      <c r="N193" s="67">
        <v>75.0</v>
      </c>
      <c r="O193" s="67" t="s">
        <v>136</v>
      </c>
      <c r="P193" s="68"/>
      <c r="Q193" s="68"/>
    </row>
    <row r="194" hidden="1">
      <c r="A194" s="104">
        <v>433.0</v>
      </c>
      <c r="B194" s="89" t="s">
        <v>11</v>
      </c>
      <c r="C194" s="90"/>
      <c r="D194" s="91"/>
      <c r="E194" s="90"/>
      <c r="F194" s="58" t="s">
        <v>137</v>
      </c>
      <c r="G194" s="92" t="s">
        <v>129</v>
      </c>
      <c r="H194" s="93" t="s">
        <v>160</v>
      </c>
      <c r="I194" s="108" t="s">
        <v>255</v>
      </c>
      <c r="J194" s="62" t="s">
        <v>117</v>
      </c>
      <c r="K194" s="72">
        <v>45790.0</v>
      </c>
      <c r="L194" s="103"/>
      <c r="M194" s="153" t="s">
        <v>244</v>
      </c>
      <c r="N194" s="67">
        <v>25.0</v>
      </c>
      <c r="O194" s="67" t="s">
        <v>169</v>
      </c>
      <c r="P194" s="68"/>
      <c r="Q194" s="68"/>
    </row>
    <row r="195" hidden="1">
      <c r="A195" s="104">
        <v>433.0</v>
      </c>
      <c r="B195" s="145" t="s">
        <v>11</v>
      </c>
      <c r="C195" s="146"/>
      <c r="D195" s="146"/>
      <c r="E195" s="146"/>
      <c r="F195" s="58" t="s">
        <v>137</v>
      </c>
      <c r="G195" s="134" t="s">
        <v>129</v>
      </c>
      <c r="H195" s="93" t="s">
        <v>160</v>
      </c>
      <c r="I195" s="154" t="s">
        <v>170</v>
      </c>
      <c r="J195" s="138" t="s">
        <v>117</v>
      </c>
      <c r="K195" s="139">
        <v>45790.0</v>
      </c>
      <c r="L195" s="66" t="s">
        <v>118</v>
      </c>
      <c r="M195" s="67" t="s">
        <v>171</v>
      </c>
      <c r="N195" s="67">
        <v>15.0</v>
      </c>
      <c r="O195" s="67" t="s">
        <v>172</v>
      </c>
      <c r="P195" s="68"/>
      <c r="Q195" s="68"/>
    </row>
    <row r="196" hidden="1">
      <c r="A196" s="97">
        <v>433.0</v>
      </c>
      <c r="B196" s="96" t="s">
        <v>11</v>
      </c>
      <c r="C196" s="97"/>
      <c r="D196" s="96"/>
      <c r="E196" s="98"/>
      <c r="F196" s="58" t="s">
        <v>137</v>
      </c>
      <c r="G196" s="58" t="s">
        <v>129</v>
      </c>
      <c r="H196" s="86" t="s">
        <v>138</v>
      </c>
      <c r="I196" s="61" t="s">
        <v>139</v>
      </c>
      <c r="J196" s="62" t="s">
        <v>117</v>
      </c>
      <c r="K196" s="63">
        <v>45796.0</v>
      </c>
      <c r="L196" s="62" t="s">
        <v>118</v>
      </c>
      <c r="M196" s="64" t="s">
        <v>265</v>
      </c>
      <c r="N196" s="65">
        <v>6.0</v>
      </c>
      <c r="O196" s="67" t="s">
        <v>141</v>
      </c>
      <c r="P196" s="68"/>
      <c r="Q196" s="68"/>
    </row>
    <row r="197" hidden="1">
      <c r="A197" s="106">
        <v>433.0</v>
      </c>
      <c r="B197" s="82" t="s">
        <v>11</v>
      </c>
      <c r="C197" s="106"/>
      <c r="D197" s="82"/>
      <c r="E197" s="83"/>
      <c r="F197" s="58" t="s">
        <v>137</v>
      </c>
      <c r="G197" s="85" t="s">
        <v>129</v>
      </c>
      <c r="H197" s="92" t="s">
        <v>138</v>
      </c>
      <c r="I197" s="87" t="s">
        <v>81</v>
      </c>
      <c r="J197" s="62" t="s">
        <v>117</v>
      </c>
      <c r="K197" s="63">
        <v>45819.0</v>
      </c>
      <c r="L197" s="62" t="s">
        <v>118</v>
      </c>
      <c r="M197" s="64" t="s">
        <v>266</v>
      </c>
      <c r="N197" s="65">
        <v>38.0</v>
      </c>
      <c r="O197" s="67"/>
      <c r="P197" s="68"/>
      <c r="Q197" s="68"/>
    </row>
    <row r="198" hidden="1">
      <c r="A198" s="106">
        <v>433.0</v>
      </c>
      <c r="B198" s="82" t="s">
        <v>11</v>
      </c>
      <c r="C198" s="97"/>
      <c r="D198" s="96"/>
      <c r="E198" s="98"/>
      <c r="F198" s="66" t="s">
        <v>124</v>
      </c>
      <c r="G198" s="58" t="s">
        <v>129</v>
      </c>
      <c r="H198" s="86" t="s">
        <v>130</v>
      </c>
      <c r="I198" s="61" t="s">
        <v>142</v>
      </c>
      <c r="J198" s="62" t="s">
        <v>117</v>
      </c>
      <c r="K198" s="63">
        <v>45818.0</v>
      </c>
      <c r="L198" s="99"/>
      <c r="M198" s="64" t="s">
        <v>143</v>
      </c>
      <c r="N198" s="65">
        <v>15.0</v>
      </c>
      <c r="O198" s="67"/>
      <c r="P198" s="68"/>
      <c r="Q198" s="68"/>
    </row>
    <row r="199" hidden="1">
      <c r="A199" s="106">
        <v>433.0</v>
      </c>
      <c r="B199" s="82" t="s">
        <v>11</v>
      </c>
      <c r="C199" s="97"/>
      <c r="D199" s="96"/>
      <c r="E199" s="98"/>
      <c r="F199" s="66" t="s">
        <v>124</v>
      </c>
      <c r="G199" s="66" t="s">
        <v>125</v>
      </c>
      <c r="H199" s="86" t="s">
        <v>130</v>
      </c>
      <c r="I199" s="61" t="s">
        <v>144</v>
      </c>
      <c r="J199" s="62" t="s">
        <v>117</v>
      </c>
      <c r="K199" s="63">
        <v>45818.0</v>
      </c>
      <c r="L199" s="99"/>
      <c r="M199" s="64" t="s">
        <v>145</v>
      </c>
      <c r="N199" s="65">
        <v>5.0</v>
      </c>
      <c r="O199" s="67"/>
      <c r="P199" s="68"/>
      <c r="Q199" s="68"/>
    </row>
    <row r="200" hidden="1">
      <c r="A200" s="106">
        <v>433.0</v>
      </c>
      <c r="B200" s="82" t="s">
        <v>11</v>
      </c>
      <c r="C200" s="97"/>
      <c r="D200" s="96"/>
      <c r="E200" s="98"/>
      <c r="F200" s="66" t="s">
        <v>124</v>
      </c>
      <c r="G200" s="66" t="s">
        <v>125</v>
      </c>
      <c r="H200" s="86" t="s">
        <v>146</v>
      </c>
      <c r="I200" s="61" t="s">
        <v>147</v>
      </c>
      <c r="J200" s="62" t="s">
        <v>117</v>
      </c>
      <c r="K200" s="63">
        <v>45818.0</v>
      </c>
      <c r="L200" s="62" t="s">
        <v>118</v>
      </c>
      <c r="M200" s="64" t="s">
        <v>148</v>
      </c>
      <c r="N200" s="65">
        <v>8.0</v>
      </c>
      <c r="O200" s="67" t="s">
        <v>149</v>
      </c>
      <c r="P200" s="68"/>
      <c r="Q200" s="68"/>
    </row>
    <row r="201">
      <c r="A201" s="100">
        <v>433.0</v>
      </c>
      <c r="B201" s="78" t="s">
        <v>11</v>
      </c>
      <c r="C201" s="101">
        <v>45702.0</v>
      </c>
      <c r="D201" s="56" t="s">
        <v>267</v>
      </c>
      <c r="E201" s="90" t="s">
        <v>242</v>
      </c>
      <c r="F201" s="58" t="s">
        <v>116</v>
      </c>
      <c r="G201" s="59"/>
      <c r="H201" s="60"/>
      <c r="I201" s="155"/>
      <c r="J201" s="62"/>
      <c r="K201" s="63"/>
      <c r="L201" s="62"/>
      <c r="M201" s="64"/>
      <c r="N201" s="102"/>
      <c r="O201" s="67"/>
      <c r="P201" s="68"/>
      <c r="Q201" s="68"/>
    </row>
    <row r="202" hidden="1">
      <c r="A202" s="100">
        <v>434.0</v>
      </c>
      <c r="B202" s="78" t="s">
        <v>11</v>
      </c>
      <c r="C202" s="57"/>
      <c r="D202" s="56" t="s">
        <v>122</v>
      </c>
      <c r="E202" s="79" t="s">
        <v>123</v>
      </c>
      <c r="F202" s="66" t="s">
        <v>124</v>
      </c>
      <c r="G202" s="66" t="s">
        <v>125</v>
      </c>
      <c r="H202" s="66" t="s">
        <v>126</v>
      </c>
      <c r="I202" s="67" t="s">
        <v>127</v>
      </c>
      <c r="J202" s="62" t="s">
        <v>117</v>
      </c>
      <c r="K202" s="72">
        <v>45736.0</v>
      </c>
      <c r="L202" s="66" t="s">
        <v>118</v>
      </c>
      <c r="M202" s="67" t="s">
        <v>247</v>
      </c>
      <c r="N202" s="67">
        <v>10.0</v>
      </c>
      <c r="O202" s="68"/>
      <c r="P202" s="68"/>
      <c r="Q202" s="68"/>
    </row>
    <row r="203" hidden="1">
      <c r="A203" s="106">
        <v>434.0</v>
      </c>
      <c r="B203" s="82" t="s">
        <v>11</v>
      </c>
      <c r="C203" s="83"/>
      <c r="D203" s="84"/>
      <c r="E203" s="83"/>
      <c r="F203" s="66" t="s">
        <v>124</v>
      </c>
      <c r="G203" s="85" t="s">
        <v>129</v>
      </c>
      <c r="H203" s="86" t="s">
        <v>130</v>
      </c>
      <c r="I203" s="87" t="s">
        <v>131</v>
      </c>
      <c r="J203" s="62" t="s">
        <v>117</v>
      </c>
      <c r="K203" s="63">
        <v>45789.0</v>
      </c>
      <c r="L203" s="75"/>
      <c r="M203" s="68"/>
      <c r="N203" s="65">
        <v>25.0</v>
      </c>
      <c r="O203" s="67" t="s">
        <v>165</v>
      </c>
      <c r="P203" s="68"/>
      <c r="Q203" s="68"/>
    </row>
    <row r="204" hidden="1">
      <c r="A204" s="104">
        <v>434.0</v>
      </c>
      <c r="B204" s="89" t="s">
        <v>11</v>
      </c>
      <c r="C204" s="90"/>
      <c r="D204" s="91"/>
      <c r="E204" s="90"/>
      <c r="F204" s="66" t="s">
        <v>124</v>
      </c>
      <c r="G204" s="92" t="s">
        <v>133</v>
      </c>
      <c r="H204" s="93" t="s">
        <v>134</v>
      </c>
      <c r="I204" s="94" t="s">
        <v>135</v>
      </c>
      <c r="J204" s="62" t="s">
        <v>117</v>
      </c>
      <c r="K204" s="72">
        <v>45790.0</v>
      </c>
      <c r="L204" s="103"/>
      <c r="M204" s="67"/>
      <c r="N204" s="67">
        <v>75.0</v>
      </c>
      <c r="O204" s="67" t="s">
        <v>136</v>
      </c>
      <c r="P204" s="68"/>
      <c r="Q204" s="68"/>
    </row>
    <row r="205" hidden="1">
      <c r="A205" s="104">
        <v>434.0</v>
      </c>
      <c r="B205" s="89" t="s">
        <v>11</v>
      </c>
      <c r="C205" s="90"/>
      <c r="D205" s="91"/>
      <c r="E205" s="90"/>
      <c r="F205" s="58" t="s">
        <v>137</v>
      </c>
      <c r="G205" s="92" t="s">
        <v>129</v>
      </c>
      <c r="H205" s="93" t="s">
        <v>160</v>
      </c>
      <c r="I205" s="108" t="s">
        <v>255</v>
      </c>
      <c r="J205" s="62" t="s">
        <v>117</v>
      </c>
      <c r="K205" s="72">
        <v>45790.0</v>
      </c>
      <c r="L205" s="66" t="s">
        <v>118</v>
      </c>
      <c r="M205" s="67" t="s">
        <v>244</v>
      </c>
      <c r="N205" s="67">
        <v>25.0</v>
      </c>
      <c r="O205" s="67" t="s">
        <v>169</v>
      </c>
      <c r="P205" s="68"/>
      <c r="Q205" s="68"/>
    </row>
    <row r="206" hidden="1">
      <c r="A206" s="104">
        <v>434.0</v>
      </c>
      <c r="B206" s="145" t="s">
        <v>11</v>
      </c>
      <c r="C206" s="146"/>
      <c r="D206" s="146"/>
      <c r="E206" s="146"/>
      <c r="F206" s="58" t="s">
        <v>137</v>
      </c>
      <c r="G206" s="134" t="s">
        <v>129</v>
      </c>
      <c r="H206" s="93" t="s">
        <v>160</v>
      </c>
      <c r="I206" s="154" t="s">
        <v>170</v>
      </c>
      <c r="J206" s="138" t="s">
        <v>117</v>
      </c>
      <c r="K206" s="139">
        <v>45790.0</v>
      </c>
      <c r="L206" s="66" t="s">
        <v>118</v>
      </c>
      <c r="M206" s="67" t="s">
        <v>171</v>
      </c>
      <c r="N206" s="67">
        <v>15.0</v>
      </c>
      <c r="O206" s="67" t="s">
        <v>172</v>
      </c>
      <c r="P206" s="68"/>
      <c r="Q206" s="68"/>
    </row>
    <row r="207" hidden="1">
      <c r="A207" s="97">
        <v>434.0</v>
      </c>
      <c r="B207" s="96" t="s">
        <v>11</v>
      </c>
      <c r="C207" s="97"/>
      <c r="D207" s="96"/>
      <c r="E207" s="98"/>
      <c r="F207" s="58" t="s">
        <v>137</v>
      </c>
      <c r="G207" s="58" t="s">
        <v>129</v>
      </c>
      <c r="H207" s="86" t="s">
        <v>138</v>
      </c>
      <c r="I207" s="61" t="s">
        <v>139</v>
      </c>
      <c r="J207" s="62" t="s">
        <v>162</v>
      </c>
      <c r="K207" s="63"/>
      <c r="L207" s="99"/>
      <c r="M207" s="64"/>
      <c r="N207" s="102"/>
      <c r="O207" s="67"/>
      <c r="P207" s="68"/>
      <c r="Q207" s="68"/>
    </row>
    <row r="208" hidden="1">
      <c r="A208" s="106">
        <v>434.0</v>
      </c>
      <c r="B208" s="82" t="s">
        <v>11</v>
      </c>
      <c r="C208" s="97"/>
      <c r="D208" s="96"/>
      <c r="E208" s="98"/>
      <c r="F208" s="66" t="s">
        <v>124</v>
      </c>
      <c r="G208" s="58" t="s">
        <v>129</v>
      </c>
      <c r="H208" s="86" t="s">
        <v>130</v>
      </c>
      <c r="I208" s="61" t="s">
        <v>142</v>
      </c>
      <c r="J208" s="62" t="s">
        <v>117</v>
      </c>
      <c r="K208" s="63">
        <v>45818.0</v>
      </c>
      <c r="L208" s="99"/>
      <c r="M208" s="64" t="s">
        <v>143</v>
      </c>
      <c r="N208" s="65">
        <v>15.0</v>
      </c>
      <c r="O208" s="67"/>
      <c r="P208" s="68"/>
      <c r="Q208" s="68"/>
    </row>
    <row r="209" hidden="1">
      <c r="A209" s="106">
        <v>434.0</v>
      </c>
      <c r="B209" s="82" t="s">
        <v>11</v>
      </c>
      <c r="C209" s="97"/>
      <c r="D209" s="96"/>
      <c r="E209" s="98"/>
      <c r="F209" s="66" t="s">
        <v>124</v>
      </c>
      <c r="G209" s="66" t="s">
        <v>125</v>
      </c>
      <c r="H209" s="86" t="s">
        <v>130</v>
      </c>
      <c r="I209" s="61" t="s">
        <v>144</v>
      </c>
      <c r="J209" s="62" t="s">
        <v>117</v>
      </c>
      <c r="K209" s="63">
        <v>45818.0</v>
      </c>
      <c r="L209" s="99"/>
      <c r="M209" s="64" t="s">
        <v>145</v>
      </c>
      <c r="N209" s="65">
        <v>5.0</v>
      </c>
      <c r="O209" s="67"/>
      <c r="P209" s="68"/>
      <c r="Q209" s="68"/>
    </row>
    <row r="210" hidden="1">
      <c r="A210" s="106">
        <v>434.0</v>
      </c>
      <c r="B210" s="82" t="s">
        <v>11</v>
      </c>
      <c r="C210" s="97"/>
      <c r="D210" s="96"/>
      <c r="E210" s="98"/>
      <c r="F210" s="66" t="s">
        <v>124</v>
      </c>
      <c r="G210" s="66" t="s">
        <v>125</v>
      </c>
      <c r="H210" s="86" t="s">
        <v>146</v>
      </c>
      <c r="I210" s="61" t="s">
        <v>147</v>
      </c>
      <c r="J210" s="62" t="s">
        <v>117</v>
      </c>
      <c r="K210" s="63">
        <v>45818.0</v>
      </c>
      <c r="L210" s="62" t="s">
        <v>118</v>
      </c>
      <c r="M210" s="64" t="s">
        <v>148</v>
      </c>
      <c r="N210" s="65">
        <v>8.0</v>
      </c>
      <c r="O210" s="67" t="s">
        <v>149</v>
      </c>
      <c r="P210" s="68"/>
      <c r="Q210" s="68"/>
    </row>
    <row r="211">
      <c r="A211" s="100">
        <v>434.0</v>
      </c>
      <c r="B211" s="78" t="s">
        <v>11</v>
      </c>
      <c r="C211" s="101">
        <v>45702.0</v>
      </c>
      <c r="D211" s="56" t="s">
        <v>268</v>
      </c>
      <c r="E211" s="90" t="s">
        <v>242</v>
      </c>
      <c r="F211" s="58" t="s">
        <v>116</v>
      </c>
      <c r="G211" s="59"/>
      <c r="H211" s="60"/>
      <c r="I211" s="61"/>
      <c r="J211" s="62"/>
      <c r="K211" s="63"/>
      <c r="L211" s="62"/>
      <c r="M211" s="64"/>
      <c r="N211" s="102"/>
      <c r="O211" s="67"/>
      <c r="P211" s="68"/>
      <c r="Q211" s="68"/>
    </row>
    <row r="212" hidden="1">
      <c r="A212" s="100">
        <v>435.0</v>
      </c>
      <c r="B212" s="78" t="s">
        <v>11</v>
      </c>
      <c r="C212" s="57"/>
      <c r="D212" s="56" t="s">
        <v>122</v>
      </c>
      <c r="E212" s="79" t="s">
        <v>123</v>
      </c>
      <c r="F212" s="66" t="s">
        <v>124</v>
      </c>
      <c r="G212" s="66" t="s">
        <v>125</v>
      </c>
      <c r="H212" s="66" t="s">
        <v>126</v>
      </c>
      <c r="I212" s="67" t="s">
        <v>127</v>
      </c>
      <c r="J212" s="62" t="s">
        <v>117</v>
      </c>
      <c r="K212" s="72">
        <v>45736.0</v>
      </c>
      <c r="L212" s="103"/>
      <c r="M212" s="67" t="s">
        <v>269</v>
      </c>
      <c r="N212" s="67">
        <v>25.0</v>
      </c>
      <c r="O212" s="68"/>
      <c r="P212" s="68"/>
      <c r="Q212" s="68"/>
    </row>
    <row r="213" hidden="1">
      <c r="A213" s="109">
        <v>435.0</v>
      </c>
      <c r="B213" s="89" t="s">
        <v>11</v>
      </c>
      <c r="C213" s="90"/>
      <c r="D213" s="91"/>
      <c r="E213" s="89"/>
      <c r="F213" s="58" t="s">
        <v>137</v>
      </c>
      <c r="G213" s="92" t="s">
        <v>129</v>
      </c>
      <c r="H213" s="93" t="s">
        <v>160</v>
      </c>
      <c r="I213" s="87" t="s">
        <v>270</v>
      </c>
      <c r="J213" s="62" t="s">
        <v>117</v>
      </c>
      <c r="K213" s="72">
        <v>45756.0</v>
      </c>
      <c r="L213" s="66" t="s">
        <v>118</v>
      </c>
      <c r="M213" s="67" t="s">
        <v>271</v>
      </c>
      <c r="N213" s="67">
        <v>15.0</v>
      </c>
      <c r="O213" s="67" t="s">
        <v>272</v>
      </c>
      <c r="P213" s="105"/>
      <c r="Q213" s="105"/>
    </row>
    <row r="214" hidden="1">
      <c r="A214" s="106">
        <v>435.0</v>
      </c>
      <c r="B214" s="82" t="s">
        <v>11</v>
      </c>
      <c r="C214" s="83"/>
      <c r="D214" s="84"/>
      <c r="E214" s="83"/>
      <c r="F214" s="66" t="s">
        <v>124</v>
      </c>
      <c r="G214" s="85" t="s">
        <v>129</v>
      </c>
      <c r="H214" s="86" t="s">
        <v>130</v>
      </c>
      <c r="I214" s="87" t="s">
        <v>131</v>
      </c>
      <c r="J214" s="62" t="s">
        <v>117</v>
      </c>
      <c r="K214" s="63">
        <v>45789.0</v>
      </c>
      <c r="L214" s="75"/>
      <c r="M214" s="68"/>
      <c r="N214" s="65">
        <v>25.0</v>
      </c>
      <c r="O214" s="67" t="s">
        <v>165</v>
      </c>
      <c r="P214" s="68"/>
      <c r="Q214" s="68"/>
    </row>
    <row r="215" hidden="1">
      <c r="A215" s="104">
        <v>435.0</v>
      </c>
      <c r="B215" s="89" t="s">
        <v>11</v>
      </c>
      <c r="C215" s="90"/>
      <c r="D215" s="91"/>
      <c r="E215" s="90"/>
      <c r="F215" s="66" t="s">
        <v>124</v>
      </c>
      <c r="G215" s="92" t="s">
        <v>133</v>
      </c>
      <c r="H215" s="93" t="s">
        <v>134</v>
      </c>
      <c r="I215" s="94" t="s">
        <v>273</v>
      </c>
      <c r="J215" s="62" t="s">
        <v>117</v>
      </c>
      <c r="K215" s="72">
        <v>45790.0</v>
      </c>
      <c r="L215" s="103"/>
      <c r="M215" s="67"/>
      <c r="N215" s="67">
        <v>75.0</v>
      </c>
      <c r="O215" s="67" t="s">
        <v>136</v>
      </c>
      <c r="P215" s="68"/>
      <c r="Q215" s="68"/>
    </row>
    <row r="216" hidden="1">
      <c r="A216" s="104">
        <v>435.0</v>
      </c>
      <c r="B216" s="145" t="s">
        <v>11</v>
      </c>
      <c r="C216" s="146"/>
      <c r="D216" s="146"/>
      <c r="E216" s="146"/>
      <c r="F216" s="58" t="s">
        <v>137</v>
      </c>
      <c r="G216" s="92" t="s">
        <v>129</v>
      </c>
      <c r="H216" s="93" t="s">
        <v>160</v>
      </c>
      <c r="I216" s="108" t="s">
        <v>255</v>
      </c>
      <c r="J216" s="62" t="s">
        <v>117</v>
      </c>
      <c r="K216" s="72">
        <v>45790.0</v>
      </c>
      <c r="L216" s="66" t="s">
        <v>118</v>
      </c>
      <c r="M216" s="67" t="s">
        <v>244</v>
      </c>
      <c r="N216" s="67">
        <v>25.0</v>
      </c>
      <c r="O216" s="67" t="s">
        <v>169</v>
      </c>
      <c r="P216" s="68"/>
      <c r="Q216" s="68"/>
    </row>
    <row r="217" hidden="1">
      <c r="A217" s="104">
        <v>435.0</v>
      </c>
      <c r="B217" s="145" t="s">
        <v>11</v>
      </c>
      <c r="C217" s="146"/>
      <c r="D217" s="146"/>
      <c r="E217" s="146"/>
      <c r="F217" s="58" t="s">
        <v>137</v>
      </c>
      <c r="G217" s="134" t="s">
        <v>129</v>
      </c>
      <c r="H217" s="93" t="s">
        <v>160</v>
      </c>
      <c r="I217" s="154" t="s">
        <v>170</v>
      </c>
      <c r="J217" s="138" t="s">
        <v>117</v>
      </c>
      <c r="K217" s="139">
        <v>45790.0</v>
      </c>
      <c r="L217" s="66" t="s">
        <v>118</v>
      </c>
      <c r="M217" s="67" t="s">
        <v>171</v>
      </c>
      <c r="N217" s="67">
        <v>15.0</v>
      </c>
      <c r="O217" s="67" t="s">
        <v>172</v>
      </c>
      <c r="P217" s="68"/>
      <c r="Q217" s="68"/>
    </row>
    <row r="218" hidden="1">
      <c r="A218" s="97">
        <v>435.0</v>
      </c>
      <c r="B218" s="96" t="s">
        <v>11</v>
      </c>
      <c r="C218" s="97"/>
      <c r="D218" s="96"/>
      <c r="E218" s="98"/>
      <c r="F218" s="58" t="s">
        <v>137</v>
      </c>
      <c r="G218" s="58" t="s">
        <v>129</v>
      </c>
      <c r="H218" s="86" t="s">
        <v>138</v>
      </c>
      <c r="I218" s="61" t="s">
        <v>139</v>
      </c>
      <c r="J218" s="62" t="s">
        <v>162</v>
      </c>
      <c r="K218" s="63"/>
      <c r="L218" s="99"/>
      <c r="M218" s="64"/>
      <c r="N218" s="102"/>
      <c r="O218" s="67"/>
      <c r="P218" s="68"/>
      <c r="Q218" s="68"/>
    </row>
    <row r="219" hidden="1">
      <c r="A219" s="106">
        <v>435.0</v>
      </c>
      <c r="B219" s="82" t="s">
        <v>11</v>
      </c>
      <c r="C219" s="97"/>
      <c r="D219" s="96"/>
      <c r="E219" s="98"/>
      <c r="F219" s="66" t="s">
        <v>124</v>
      </c>
      <c r="G219" s="58" t="s">
        <v>129</v>
      </c>
      <c r="H219" s="86" t="s">
        <v>130</v>
      </c>
      <c r="I219" s="61" t="s">
        <v>142</v>
      </c>
      <c r="J219" s="62" t="s">
        <v>117</v>
      </c>
      <c r="K219" s="63">
        <v>45818.0</v>
      </c>
      <c r="L219" s="99"/>
      <c r="M219" s="64" t="s">
        <v>143</v>
      </c>
      <c r="N219" s="65">
        <v>15.0</v>
      </c>
      <c r="O219" s="67"/>
      <c r="P219" s="68"/>
      <c r="Q219" s="68"/>
    </row>
    <row r="220" hidden="1">
      <c r="A220" s="106">
        <v>435.0</v>
      </c>
      <c r="B220" s="82" t="s">
        <v>11</v>
      </c>
      <c r="C220" s="97"/>
      <c r="D220" s="96"/>
      <c r="E220" s="98"/>
      <c r="F220" s="66" t="s">
        <v>124</v>
      </c>
      <c r="G220" s="66" t="s">
        <v>125</v>
      </c>
      <c r="H220" s="86" t="s">
        <v>130</v>
      </c>
      <c r="I220" s="61" t="s">
        <v>144</v>
      </c>
      <c r="J220" s="62" t="s">
        <v>117</v>
      </c>
      <c r="K220" s="63">
        <v>45818.0</v>
      </c>
      <c r="L220" s="99"/>
      <c r="M220" s="64" t="s">
        <v>145</v>
      </c>
      <c r="N220" s="65">
        <v>5.0</v>
      </c>
      <c r="O220" s="67"/>
      <c r="P220" s="68"/>
      <c r="Q220" s="68"/>
    </row>
    <row r="221" hidden="1">
      <c r="A221" s="106">
        <v>435.0</v>
      </c>
      <c r="B221" s="82" t="s">
        <v>11</v>
      </c>
      <c r="C221" s="97"/>
      <c r="D221" s="96"/>
      <c r="E221" s="98"/>
      <c r="F221" s="66" t="s">
        <v>124</v>
      </c>
      <c r="G221" s="66" t="s">
        <v>125</v>
      </c>
      <c r="H221" s="86" t="s">
        <v>146</v>
      </c>
      <c r="I221" s="61" t="s">
        <v>147</v>
      </c>
      <c r="J221" s="62" t="s">
        <v>117</v>
      </c>
      <c r="K221" s="63">
        <v>45818.0</v>
      </c>
      <c r="L221" s="62" t="s">
        <v>118</v>
      </c>
      <c r="M221" s="64" t="s">
        <v>148</v>
      </c>
      <c r="N221" s="65">
        <v>8.0</v>
      </c>
      <c r="O221" s="67" t="s">
        <v>149</v>
      </c>
      <c r="P221" s="68"/>
      <c r="Q221" s="68"/>
    </row>
    <row r="222">
      <c r="A222" s="100">
        <v>435.0</v>
      </c>
      <c r="B222" s="78" t="s">
        <v>11</v>
      </c>
      <c r="C222" s="101">
        <v>45702.0</v>
      </c>
      <c r="D222" s="56" t="s">
        <v>274</v>
      </c>
      <c r="E222" s="90" t="s">
        <v>242</v>
      </c>
      <c r="F222" s="58" t="s">
        <v>116</v>
      </c>
      <c r="G222" s="59"/>
      <c r="H222" s="60"/>
      <c r="I222" s="61"/>
      <c r="J222" s="62"/>
      <c r="K222" s="63"/>
      <c r="L222" s="62"/>
      <c r="M222" s="64"/>
      <c r="N222" s="102"/>
      <c r="O222" s="67"/>
      <c r="P222" s="68"/>
      <c r="Q222" s="68"/>
    </row>
    <row r="223" hidden="1">
      <c r="A223" s="100">
        <v>436.0</v>
      </c>
      <c r="B223" s="78" t="s">
        <v>11</v>
      </c>
      <c r="C223" s="57"/>
      <c r="D223" s="56" t="s">
        <v>122</v>
      </c>
      <c r="E223" s="79" t="s">
        <v>123</v>
      </c>
      <c r="F223" s="66" t="s">
        <v>124</v>
      </c>
      <c r="G223" s="66" t="s">
        <v>125</v>
      </c>
      <c r="H223" s="66" t="s">
        <v>126</v>
      </c>
      <c r="I223" s="67" t="s">
        <v>127</v>
      </c>
      <c r="J223" s="62" t="s">
        <v>117</v>
      </c>
      <c r="K223" s="72">
        <v>45736.0</v>
      </c>
      <c r="L223" s="103"/>
      <c r="M223" s="67" t="s">
        <v>188</v>
      </c>
      <c r="N223" s="67">
        <v>16.0</v>
      </c>
      <c r="O223" s="68"/>
      <c r="P223" s="68"/>
      <c r="Q223" s="68"/>
    </row>
    <row r="224" hidden="1">
      <c r="A224" s="109">
        <v>436.0</v>
      </c>
      <c r="B224" s="89" t="s">
        <v>11</v>
      </c>
      <c r="C224" s="90"/>
      <c r="D224" s="91"/>
      <c r="E224" s="89"/>
      <c r="F224" s="58" t="s">
        <v>137</v>
      </c>
      <c r="G224" s="66" t="s">
        <v>125</v>
      </c>
      <c r="H224" s="86" t="s">
        <v>134</v>
      </c>
      <c r="I224" s="87" t="s">
        <v>275</v>
      </c>
      <c r="J224" s="62" t="s">
        <v>117</v>
      </c>
      <c r="K224" s="72">
        <v>45756.0</v>
      </c>
      <c r="L224" s="103"/>
      <c r="M224" s="67" t="s">
        <v>276</v>
      </c>
      <c r="N224" s="67">
        <v>25.0</v>
      </c>
      <c r="O224" s="68"/>
      <c r="P224" s="68"/>
      <c r="Q224" s="68"/>
    </row>
    <row r="225" hidden="1">
      <c r="A225" s="104">
        <v>436.0</v>
      </c>
      <c r="B225" s="89" t="s">
        <v>11</v>
      </c>
      <c r="C225" s="90"/>
      <c r="D225" s="91"/>
      <c r="E225" s="90"/>
      <c r="F225" s="58" t="s">
        <v>137</v>
      </c>
      <c r="G225" s="93" t="s">
        <v>133</v>
      </c>
      <c r="H225" s="93" t="s">
        <v>152</v>
      </c>
      <c r="I225" s="94" t="s">
        <v>189</v>
      </c>
      <c r="J225" s="62" t="s">
        <v>117</v>
      </c>
      <c r="K225" s="72">
        <v>45777.0</v>
      </c>
      <c r="L225" s="140"/>
      <c r="M225" s="87" t="s">
        <v>277</v>
      </c>
      <c r="N225" s="67">
        <v>30.0</v>
      </c>
      <c r="O225" s="67" t="s">
        <v>278</v>
      </c>
      <c r="P225" s="105"/>
      <c r="Q225" s="105"/>
    </row>
    <row r="226" hidden="1">
      <c r="A226" s="104">
        <v>436.0</v>
      </c>
      <c r="B226" s="89" t="s">
        <v>11</v>
      </c>
      <c r="C226" s="90"/>
      <c r="D226" s="91"/>
      <c r="E226" s="90"/>
      <c r="F226" s="58" t="s">
        <v>137</v>
      </c>
      <c r="G226" s="122" t="s">
        <v>156</v>
      </c>
      <c r="H226" s="93" t="s">
        <v>157</v>
      </c>
      <c r="I226" s="94" t="s">
        <v>156</v>
      </c>
      <c r="J226" s="62" t="s">
        <v>117</v>
      </c>
      <c r="K226" s="72">
        <v>45777.0</v>
      </c>
      <c r="L226" s="92" t="s">
        <v>118</v>
      </c>
      <c r="M226" s="67" t="s">
        <v>158</v>
      </c>
      <c r="N226" s="67">
        <v>10.0</v>
      </c>
      <c r="O226" s="65"/>
      <c r="P226" s="156"/>
      <c r="Q226" s="156"/>
    </row>
    <row r="227" hidden="1">
      <c r="A227" s="106">
        <v>436.0</v>
      </c>
      <c r="B227" s="82" t="s">
        <v>11</v>
      </c>
      <c r="C227" s="83"/>
      <c r="D227" s="84"/>
      <c r="E227" s="83"/>
      <c r="F227" s="66" t="s">
        <v>124</v>
      </c>
      <c r="G227" s="85" t="s">
        <v>129</v>
      </c>
      <c r="H227" s="86" t="s">
        <v>130</v>
      </c>
      <c r="I227" s="87" t="s">
        <v>131</v>
      </c>
      <c r="J227" s="62" t="s">
        <v>117</v>
      </c>
      <c r="K227" s="63">
        <v>45789.0</v>
      </c>
      <c r="L227" s="75"/>
      <c r="M227" s="68"/>
      <c r="N227" s="65">
        <v>25.0</v>
      </c>
      <c r="O227" s="67" t="s">
        <v>165</v>
      </c>
      <c r="P227" s="68"/>
      <c r="Q227" s="68"/>
    </row>
    <row r="228" hidden="1">
      <c r="A228" s="104">
        <v>436.0</v>
      </c>
      <c r="B228" s="89" t="s">
        <v>11</v>
      </c>
      <c r="C228" s="90"/>
      <c r="D228" s="91"/>
      <c r="E228" s="90"/>
      <c r="F228" s="66" t="s">
        <v>124</v>
      </c>
      <c r="G228" s="92" t="s">
        <v>133</v>
      </c>
      <c r="H228" s="93" t="s">
        <v>134</v>
      </c>
      <c r="I228" s="94" t="s">
        <v>135</v>
      </c>
      <c r="J228" s="62" t="s">
        <v>117</v>
      </c>
      <c r="K228" s="72">
        <v>45790.0</v>
      </c>
      <c r="L228" s="103"/>
      <c r="M228" s="67"/>
      <c r="N228" s="67">
        <v>75.0</v>
      </c>
      <c r="O228" s="67" t="s">
        <v>136</v>
      </c>
      <c r="P228" s="68"/>
      <c r="Q228" s="68"/>
    </row>
    <row r="229" hidden="1">
      <c r="A229" s="104">
        <v>436.0</v>
      </c>
      <c r="B229" s="145" t="s">
        <v>11</v>
      </c>
      <c r="C229" s="146"/>
      <c r="D229" s="146"/>
      <c r="E229" s="146"/>
      <c r="F229" s="58" t="s">
        <v>137</v>
      </c>
      <c r="G229" s="92" t="s">
        <v>129</v>
      </c>
      <c r="H229" s="93" t="s">
        <v>160</v>
      </c>
      <c r="I229" s="108" t="s">
        <v>255</v>
      </c>
      <c r="J229" s="62" t="s">
        <v>117</v>
      </c>
      <c r="K229" s="72">
        <v>45790.0</v>
      </c>
      <c r="L229" s="66" t="s">
        <v>118</v>
      </c>
      <c r="M229" s="67" t="s">
        <v>244</v>
      </c>
      <c r="N229" s="67">
        <v>25.0</v>
      </c>
      <c r="O229" s="67" t="s">
        <v>169</v>
      </c>
      <c r="P229" s="68"/>
      <c r="Q229" s="68"/>
    </row>
    <row r="230" hidden="1">
      <c r="A230" s="104">
        <v>436.0</v>
      </c>
      <c r="B230" s="145" t="s">
        <v>11</v>
      </c>
      <c r="C230" s="146"/>
      <c r="D230" s="146"/>
      <c r="E230" s="146"/>
      <c r="F230" s="58" t="s">
        <v>137</v>
      </c>
      <c r="G230" s="134" t="s">
        <v>129</v>
      </c>
      <c r="H230" s="93" t="s">
        <v>160</v>
      </c>
      <c r="I230" s="154" t="s">
        <v>170</v>
      </c>
      <c r="J230" s="138" t="s">
        <v>117</v>
      </c>
      <c r="K230" s="139">
        <v>45790.0</v>
      </c>
      <c r="L230" s="66" t="s">
        <v>118</v>
      </c>
      <c r="M230" s="67" t="s">
        <v>171</v>
      </c>
      <c r="N230" s="67">
        <v>15.0</v>
      </c>
      <c r="O230" s="67" t="s">
        <v>172</v>
      </c>
      <c r="P230" s="68"/>
      <c r="Q230" s="68"/>
    </row>
    <row r="231" hidden="1">
      <c r="A231" s="97">
        <v>436.0</v>
      </c>
      <c r="B231" s="96" t="s">
        <v>11</v>
      </c>
      <c r="C231" s="97"/>
      <c r="D231" s="96"/>
      <c r="E231" s="98"/>
      <c r="F231" s="58" t="s">
        <v>137</v>
      </c>
      <c r="G231" s="58" t="s">
        <v>129</v>
      </c>
      <c r="H231" s="86" t="s">
        <v>138</v>
      </c>
      <c r="I231" s="61" t="s">
        <v>139</v>
      </c>
      <c r="J231" s="62" t="s">
        <v>162</v>
      </c>
      <c r="K231" s="63"/>
      <c r="L231" s="99"/>
      <c r="M231" s="64"/>
      <c r="N231" s="102"/>
      <c r="O231" s="67"/>
      <c r="P231" s="68"/>
      <c r="Q231" s="68"/>
    </row>
    <row r="232" hidden="1">
      <c r="A232" s="106">
        <v>436.0</v>
      </c>
      <c r="B232" s="82" t="s">
        <v>11</v>
      </c>
      <c r="C232" s="97"/>
      <c r="D232" s="96"/>
      <c r="E232" s="98"/>
      <c r="F232" s="66" t="s">
        <v>124</v>
      </c>
      <c r="G232" s="58" t="s">
        <v>129</v>
      </c>
      <c r="H232" s="86" t="s">
        <v>130</v>
      </c>
      <c r="I232" s="61" t="s">
        <v>142</v>
      </c>
      <c r="J232" s="62" t="s">
        <v>117</v>
      </c>
      <c r="K232" s="63">
        <v>45818.0</v>
      </c>
      <c r="L232" s="99"/>
      <c r="M232" s="64" t="s">
        <v>143</v>
      </c>
      <c r="N232" s="65">
        <v>15.0</v>
      </c>
      <c r="O232" s="67"/>
      <c r="P232" s="68"/>
      <c r="Q232" s="68"/>
    </row>
    <row r="233" hidden="1">
      <c r="A233" s="106">
        <v>436.0</v>
      </c>
      <c r="B233" s="82" t="s">
        <v>11</v>
      </c>
      <c r="C233" s="97"/>
      <c r="D233" s="96"/>
      <c r="E233" s="98"/>
      <c r="F233" s="66" t="s">
        <v>124</v>
      </c>
      <c r="G233" s="66" t="s">
        <v>125</v>
      </c>
      <c r="H233" s="86" t="s">
        <v>130</v>
      </c>
      <c r="I233" s="61" t="s">
        <v>144</v>
      </c>
      <c r="J233" s="62" t="s">
        <v>117</v>
      </c>
      <c r="K233" s="63">
        <v>45818.0</v>
      </c>
      <c r="L233" s="99"/>
      <c r="M233" s="64" t="s">
        <v>145</v>
      </c>
      <c r="N233" s="65">
        <v>5.0</v>
      </c>
      <c r="O233" s="67"/>
      <c r="P233" s="68"/>
      <c r="Q233" s="68"/>
    </row>
    <row r="234" hidden="1">
      <c r="A234" s="106">
        <v>436.0</v>
      </c>
      <c r="B234" s="82" t="s">
        <v>11</v>
      </c>
      <c r="C234" s="97"/>
      <c r="D234" s="96"/>
      <c r="E234" s="98"/>
      <c r="F234" s="66" t="s">
        <v>124</v>
      </c>
      <c r="G234" s="66" t="s">
        <v>125</v>
      </c>
      <c r="H234" s="86" t="s">
        <v>146</v>
      </c>
      <c r="I234" s="61" t="s">
        <v>147</v>
      </c>
      <c r="J234" s="62" t="s">
        <v>117</v>
      </c>
      <c r="K234" s="63">
        <v>45818.0</v>
      </c>
      <c r="L234" s="62" t="s">
        <v>118</v>
      </c>
      <c r="M234" s="64" t="s">
        <v>148</v>
      </c>
      <c r="N234" s="65">
        <v>8.0</v>
      </c>
      <c r="O234" s="67" t="s">
        <v>149</v>
      </c>
      <c r="P234" s="68"/>
      <c r="Q234" s="68"/>
    </row>
    <row r="235">
      <c r="A235" s="100">
        <v>436.0</v>
      </c>
      <c r="B235" s="78" t="s">
        <v>11</v>
      </c>
      <c r="C235" s="101">
        <v>45702.0</v>
      </c>
      <c r="D235" s="56" t="s">
        <v>279</v>
      </c>
      <c r="E235" s="90" t="s">
        <v>242</v>
      </c>
      <c r="F235" s="58" t="s">
        <v>116</v>
      </c>
      <c r="G235" s="59"/>
      <c r="H235" s="60"/>
      <c r="I235" s="61"/>
      <c r="J235" s="62"/>
      <c r="K235" s="63"/>
      <c r="L235" s="62"/>
      <c r="M235" s="64"/>
      <c r="N235" s="102"/>
      <c r="O235" s="67"/>
      <c r="P235" s="68"/>
      <c r="Q235" s="68"/>
    </row>
    <row r="236" hidden="1">
      <c r="A236" s="100">
        <v>437.0</v>
      </c>
      <c r="B236" s="78" t="s">
        <v>11</v>
      </c>
      <c r="C236" s="57"/>
      <c r="D236" s="56" t="s">
        <v>122</v>
      </c>
      <c r="E236" s="79" t="s">
        <v>123</v>
      </c>
      <c r="F236" s="66" t="s">
        <v>124</v>
      </c>
      <c r="G236" s="66" t="s">
        <v>125</v>
      </c>
      <c r="H236" s="66" t="s">
        <v>126</v>
      </c>
      <c r="I236" s="67" t="s">
        <v>127</v>
      </c>
      <c r="J236" s="62" t="s">
        <v>117</v>
      </c>
      <c r="K236" s="72">
        <v>45736.0</v>
      </c>
      <c r="L236" s="103"/>
      <c r="M236" s="67" t="s">
        <v>247</v>
      </c>
      <c r="N236" s="67">
        <v>10.0</v>
      </c>
      <c r="O236" s="68"/>
      <c r="P236" s="68"/>
      <c r="Q236" s="68"/>
    </row>
    <row r="237" hidden="1">
      <c r="A237" s="104">
        <v>437.0</v>
      </c>
      <c r="B237" s="78" t="s">
        <v>11</v>
      </c>
      <c r="C237" s="157"/>
      <c r="D237" s="158"/>
      <c r="E237" s="89"/>
      <c r="F237" s="58" t="s">
        <v>137</v>
      </c>
      <c r="G237" s="93" t="s">
        <v>129</v>
      </c>
      <c r="H237" s="92" t="s">
        <v>181</v>
      </c>
      <c r="I237" s="87" t="s">
        <v>203</v>
      </c>
      <c r="J237" s="62" t="s">
        <v>117</v>
      </c>
      <c r="K237" s="72">
        <v>45756.0</v>
      </c>
      <c r="L237" s="66" t="s">
        <v>118</v>
      </c>
      <c r="M237" s="67" t="s">
        <v>280</v>
      </c>
      <c r="N237" s="67">
        <v>5.0</v>
      </c>
      <c r="O237" s="68"/>
      <c r="P237" s="68"/>
      <c r="Q237" s="68"/>
    </row>
    <row r="238" hidden="1">
      <c r="A238" s="106">
        <v>437.0</v>
      </c>
      <c r="B238" s="82" t="s">
        <v>11</v>
      </c>
      <c r="C238" s="83"/>
      <c r="D238" s="84"/>
      <c r="E238" s="83"/>
      <c r="F238" s="66" t="s">
        <v>124</v>
      </c>
      <c r="G238" s="85" t="s">
        <v>129</v>
      </c>
      <c r="H238" s="86" t="s">
        <v>130</v>
      </c>
      <c r="I238" s="87" t="s">
        <v>131</v>
      </c>
      <c r="J238" s="62" t="s">
        <v>117</v>
      </c>
      <c r="K238" s="63">
        <v>45789.0</v>
      </c>
      <c r="L238" s="75"/>
      <c r="M238" s="68"/>
      <c r="N238" s="65">
        <v>25.0</v>
      </c>
      <c r="O238" s="67" t="s">
        <v>165</v>
      </c>
      <c r="P238" s="68"/>
      <c r="Q238" s="68"/>
    </row>
    <row r="239" hidden="1">
      <c r="A239" s="104">
        <v>437.0</v>
      </c>
      <c r="B239" s="89" t="s">
        <v>11</v>
      </c>
      <c r="C239" s="90"/>
      <c r="D239" s="91"/>
      <c r="E239" s="90"/>
      <c r="F239" s="66" t="s">
        <v>124</v>
      </c>
      <c r="G239" s="92" t="s">
        <v>133</v>
      </c>
      <c r="H239" s="93" t="s">
        <v>134</v>
      </c>
      <c r="I239" s="94" t="s">
        <v>135</v>
      </c>
      <c r="J239" s="62" t="s">
        <v>117</v>
      </c>
      <c r="K239" s="72">
        <v>45790.0</v>
      </c>
      <c r="L239" s="66" t="s">
        <v>118</v>
      </c>
      <c r="M239" s="67"/>
      <c r="N239" s="67">
        <v>75.0</v>
      </c>
      <c r="O239" s="67" t="s">
        <v>136</v>
      </c>
      <c r="P239" s="68"/>
      <c r="Q239" s="68"/>
    </row>
    <row r="240" hidden="1">
      <c r="A240" s="106">
        <v>437.0</v>
      </c>
      <c r="B240" s="82" t="s">
        <v>11</v>
      </c>
      <c r="C240" s="106"/>
      <c r="D240" s="82"/>
      <c r="E240" s="83"/>
      <c r="F240" s="58" t="s">
        <v>137</v>
      </c>
      <c r="G240" s="85" t="s">
        <v>129</v>
      </c>
      <c r="H240" s="92" t="s">
        <v>138</v>
      </c>
      <c r="I240" s="87" t="s">
        <v>139</v>
      </c>
      <c r="J240" s="62" t="s">
        <v>117</v>
      </c>
      <c r="K240" s="63">
        <v>45796.0</v>
      </c>
      <c r="L240" s="62" t="s">
        <v>118</v>
      </c>
      <c r="M240" s="64" t="s">
        <v>140</v>
      </c>
      <c r="N240" s="65">
        <v>6.0</v>
      </c>
      <c r="O240" s="67" t="s">
        <v>141</v>
      </c>
      <c r="P240" s="68"/>
      <c r="Q240" s="68"/>
    </row>
    <row r="241" hidden="1">
      <c r="A241" s="106">
        <v>437.0</v>
      </c>
      <c r="B241" s="82" t="s">
        <v>11</v>
      </c>
      <c r="C241" s="97"/>
      <c r="D241" s="96"/>
      <c r="E241" s="98"/>
      <c r="F241" s="66" t="s">
        <v>124</v>
      </c>
      <c r="G241" s="58" t="s">
        <v>129</v>
      </c>
      <c r="H241" s="86" t="s">
        <v>130</v>
      </c>
      <c r="I241" s="61" t="s">
        <v>142</v>
      </c>
      <c r="J241" s="62" t="s">
        <v>117</v>
      </c>
      <c r="K241" s="63">
        <v>45818.0</v>
      </c>
      <c r="L241" s="99"/>
      <c r="M241" s="64" t="s">
        <v>143</v>
      </c>
      <c r="N241" s="65">
        <v>15.0</v>
      </c>
      <c r="O241" s="67"/>
      <c r="P241" s="68"/>
      <c r="Q241" s="68"/>
    </row>
    <row r="242" hidden="1">
      <c r="A242" s="106">
        <v>437.0</v>
      </c>
      <c r="B242" s="82" t="s">
        <v>11</v>
      </c>
      <c r="C242" s="97"/>
      <c r="D242" s="96"/>
      <c r="E242" s="98"/>
      <c r="F242" s="66" t="s">
        <v>124</v>
      </c>
      <c r="G242" s="66" t="s">
        <v>125</v>
      </c>
      <c r="H242" s="86" t="s">
        <v>130</v>
      </c>
      <c r="I242" s="61" t="s">
        <v>144</v>
      </c>
      <c r="J242" s="62" t="s">
        <v>117</v>
      </c>
      <c r="K242" s="63">
        <v>45818.0</v>
      </c>
      <c r="L242" s="99"/>
      <c r="M242" s="64" t="s">
        <v>145</v>
      </c>
      <c r="N242" s="65">
        <v>5.0</v>
      </c>
      <c r="O242" s="67"/>
      <c r="P242" s="68"/>
      <c r="Q242" s="68"/>
    </row>
    <row r="243" hidden="1">
      <c r="A243" s="106">
        <v>437.0</v>
      </c>
      <c r="B243" s="82" t="s">
        <v>11</v>
      </c>
      <c r="C243" s="97"/>
      <c r="D243" s="96"/>
      <c r="E243" s="98"/>
      <c r="F243" s="66" t="s">
        <v>124</v>
      </c>
      <c r="G243" s="66" t="s">
        <v>125</v>
      </c>
      <c r="H243" s="86" t="s">
        <v>146</v>
      </c>
      <c r="I243" s="61" t="s">
        <v>147</v>
      </c>
      <c r="J243" s="62" t="s">
        <v>117</v>
      </c>
      <c r="K243" s="63">
        <v>45818.0</v>
      </c>
      <c r="L243" s="62" t="s">
        <v>118</v>
      </c>
      <c r="M243" s="64" t="s">
        <v>148</v>
      </c>
      <c r="N243" s="65">
        <v>8.0</v>
      </c>
      <c r="O243" s="67" t="s">
        <v>149</v>
      </c>
      <c r="P243" s="68"/>
      <c r="Q243" s="68"/>
    </row>
    <row r="244">
      <c r="A244" s="100">
        <v>437.0</v>
      </c>
      <c r="B244" s="78" t="s">
        <v>11</v>
      </c>
      <c r="C244" s="101">
        <v>45702.0</v>
      </c>
      <c r="D244" s="56" t="s">
        <v>281</v>
      </c>
      <c r="E244" s="90" t="s">
        <v>242</v>
      </c>
      <c r="F244" s="58" t="s">
        <v>116</v>
      </c>
      <c r="G244" s="59"/>
      <c r="H244" s="60"/>
      <c r="I244" s="61"/>
      <c r="J244" s="62"/>
      <c r="K244" s="63"/>
      <c r="L244" s="62"/>
      <c r="M244" s="64"/>
      <c r="N244" s="102"/>
      <c r="O244" s="67"/>
      <c r="P244" s="68"/>
      <c r="Q244" s="68"/>
    </row>
    <row r="245" hidden="1">
      <c r="A245" s="104">
        <v>438.0</v>
      </c>
      <c r="B245" s="89" t="s">
        <v>11</v>
      </c>
      <c r="C245" s="157"/>
      <c r="D245" s="91" t="s">
        <v>122</v>
      </c>
      <c r="E245" s="89" t="s">
        <v>123</v>
      </c>
      <c r="F245" s="66" t="s">
        <v>124</v>
      </c>
      <c r="G245" s="66" t="s">
        <v>125</v>
      </c>
      <c r="H245" s="66" t="s">
        <v>126</v>
      </c>
      <c r="I245" s="67" t="s">
        <v>127</v>
      </c>
      <c r="J245" s="62" t="s">
        <v>117</v>
      </c>
      <c r="K245" s="72">
        <v>45736.0</v>
      </c>
      <c r="L245" s="66" t="s">
        <v>118</v>
      </c>
      <c r="M245" s="67" t="s">
        <v>247</v>
      </c>
      <c r="N245" s="67">
        <v>10.0</v>
      </c>
      <c r="O245" s="68"/>
      <c r="P245" s="68"/>
      <c r="Q245" s="68"/>
    </row>
    <row r="246" hidden="1">
      <c r="A246" s="106">
        <v>438.0</v>
      </c>
      <c r="B246" s="82" t="s">
        <v>11</v>
      </c>
      <c r="C246" s="83"/>
      <c r="D246" s="84"/>
      <c r="E246" s="83"/>
      <c r="F246" s="66" t="s">
        <v>124</v>
      </c>
      <c r="G246" s="85" t="s">
        <v>129</v>
      </c>
      <c r="H246" s="86" t="s">
        <v>130</v>
      </c>
      <c r="I246" s="87" t="s">
        <v>131</v>
      </c>
      <c r="J246" s="62" t="s">
        <v>117</v>
      </c>
      <c r="K246" s="63">
        <v>45789.0</v>
      </c>
      <c r="L246" s="75"/>
      <c r="M246" s="68"/>
      <c r="N246" s="65">
        <v>25.0</v>
      </c>
      <c r="O246" s="67" t="s">
        <v>165</v>
      </c>
      <c r="P246" s="68"/>
      <c r="Q246" s="68"/>
    </row>
    <row r="247" hidden="1">
      <c r="A247" s="104">
        <v>438.0</v>
      </c>
      <c r="B247" s="89" t="s">
        <v>11</v>
      </c>
      <c r="C247" s="90"/>
      <c r="D247" s="91"/>
      <c r="E247" s="90"/>
      <c r="F247" s="66" t="s">
        <v>124</v>
      </c>
      <c r="G247" s="92" t="s">
        <v>133</v>
      </c>
      <c r="H247" s="93" t="s">
        <v>134</v>
      </c>
      <c r="I247" s="94" t="s">
        <v>135</v>
      </c>
      <c r="J247" s="62" t="s">
        <v>117</v>
      </c>
      <c r="K247" s="72">
        <v>45790.0</v>
      </c>
      <c r="L247" s="66" t="s">
        <v>118</v>
      </c>
      <c r="M247" s="67"/>
      <c r="N247" s="67">
        <v>75.0</v>
      </c>
      <c r="O247" s="67" t="s">
        <v>136</v>
      </c>
      <c r="P247" s="68"/>
      <c r="Q247" s="68"/>
    </row>
    <row r="248" hidden="1">
      <c r="A248" s="97">
        <v>438.0</v>
      </c>
      <c r="B248" s="96" t="s">
        <v>11</v>
      </c>
      <c r="C248" s="97"/>
      <c r="D248" s="96"/>
      <c r="E248" s="98"/>
      <c r="F248" s="58" t="s">
        <v>137</v>
      </c>
      <c r="G248" s="58" t="s">
        <v>129</v>
      </c>
      <c r="H248" s="86" t="s">
        <v>138</v>
      </c>
      <c r="I248" s="61" t="s">
        <v>139</v>
      </c>
      <c r="J248" s="62" t="s">
        <v>117</v>
      </c>
      <c r="K248" s="63">
        <v>45796.0</v>
      </c>
      <c r="L248" s="62" t="s">
        <v>118</v>
      </c>
      <c r="M248" s="64" t="s">
        <v>140</v>
      </c>
      <c r="N248" s="65">
        <v>6.0</v>
      </c>
      <c r="O248" s="67" t="s">
        <v>141</v>
      </c>
      <c r="P248" s="68"/>
      <c r="Q248" s="68"/>
    </row>
    <row r="249" hidden="1">
      <c r="A249" s="106">
        <v>438.0</v>
      </c>
      <c r="B249" s="82" t="s">
        <v>11</v>
      </c>
      <c r="C249" s="97"/>
      <c r="D249" s="96"/>
      <c r="E249" s="98"/>
      <c r="F249" s="66" t="s">
        <v>124</v>
      </c>
      <c r="G249" s="58" t="s">
        <v>129</v>
      </c>
      <c r="H249" s="86" t="s">
        <v>130</v>
      </c>
      <c r="I249" s="61" t="s">
        <v>142</v>
      </c>
      <c r="J249" s="62" t="s">
        <v>117</v>
      </c>
      <c r="K249" s="63">
        <v>45818.0</v>
      </c>
      <c r="L249" s="99"/>
      <c r="M249" s="64" t="s">
        <v>143</v>
      </c>
      <c r="N249" s="65">
        <v>15.0</v>
      </c>
      <c r="O249" s="67"/>
      <c r="P249" s="68"/>
      <c r="Q249" s="68"/>
    </row>
    <row r="250" hidden="1">
      <c r="A250" s="106">
        <v>438.0</v>
      </c>
      <c r="B250" s="82" t="s">
        <v>11</v>
      </c>
      <c r="C250" s="97"/>
      <c r="D250" s="96"/>
      <c r="E250" s="98"/>
      <c r="F250" s="66" t="s">
        <v>124</v>
      </c>
      <c r="G250" s="66" t="s">
        <v>125</v>
      </c>
      <c r="H250" s="86" t="s">
        <v>130</v>
      </c>
      <c r="I250" s="61" t="s">
        <v>144</v>
      </c>
      <c r="J250" s="62" t="s">
        <v>117</v>
      </c>
      <c r="K250" s="63">
        <v>45818.0</v>
      </c>
      <c r="L250" s="99"/>
      <c r="M250" s="64" t="s">
        <v>145</v>
      </c>
      <c r="N250" s="65">
        <v>5.0</v>
      </c>
      <c r="O250" s="67"/>
      <c r="P250" s="68"/>
      <c r="Q250" s="68"/>
    </row>
    <row r="251" hidden="1">
      <c r="A251" s="106">
        <v>438.0</v>
      </c>
      <c r="B251" s="82" t="s">
        <v>11</v>
      </c>
      <c r="C251" s="97"/>
      <c r="D251" s="96"/>
      <c r="E251" s="98"/>
      <c r="F251" s="66" t="s">
        <v>124</v>
      </c>
      <c r="G251" s="66" t="s">
        <v>125</v>
      </c>
      <c r="H251" s="86" t="s">
        <v>146</v>
      </c>
      <c r="I251" s="61" t="s">
        <v>147</v>
      </c>
      <c r="J251" s="62" t="s">
        <v>117</v>
      </c>
      <c r="K251" s="63">
        <v>45818.0</v>
      </c>
      <c r="L251" s="62" t="s">
        <v>118</v>
      </c>
      <c r="M251" s="64" t="s">
        <v>148</v>
      </c>
      <c r="N251" s="65">
        <v>8.0</v>
      </c>
      <c r="O251" s="67" t="s">
        <v>149</v>
      </c>
      <c r="P251" s="68"/>
      <c r="Q251" s="68"/>
    </row>
    <row r="252">
      <c r="A252" s="104">
        <v>438.0</v>
      </c>
      <c r="B252" s="78" t="s">
        <v>11</v>
      </c>
      <c r="C252" s="101">
        <v>45702.0</v>
      </c>
      <c r="D252" s="56" t="s">
        <v>282</v>
      </c>
      <c r="E252" s="90" t="s">
        <v>242</v>
      </c>
      <c r="F252" s="58" t="s">
        <v>116</v>
      </c>
      <c r="G252" s="59"/>
      <c r="H252" s="60"/>
      <c r="I252" s="61"/>
      <c r="J252" s="62"/>
      <c r="K252" s="63"/>
      <c r="L252" s="62"/>
      <c r="M252" s="64"/>
      <c r="N252" s="102"/>
      <c r="O252" s="67"/>
      <c r="P252" s="68"/>
      <c r="Q252" s="68"/>
    </row>
    <row r="253" hidden="1">
      <c r="A253" s="100">
        <v>439.0</v>
      </c>
      <c r="B253" s="78" t="s">
        <v>11</v>
      </c>
      <c r="C253" s="57"/>
      <c r="D253" s="56" t="s">
        <v>122</v>
      </c>
      <c r="E253" s="79" t="s">
        <v>123</v>
      </c>
      <c r="F253" s="66" t="s">
        <v>124</v>
      </c>
      <c r="G253" s="66" t="s">
        <v>125</v>
      </c>
      <c r="H253" s="66" t="s">
        <v>126</v>
      </c>
      <c r="I253" s="67" t="s">
        <v>127</v>
      </c>
      <c r="J253" s="62" t="s">
        <v>117</v>
      </c>
      <c r="K253" s="72">
        <v>45736.0</v>
      </c>
      <c r="L253" s="66" t="s">
        <v>118</v>
      </c>
      <c r="M253" s="67" t="s">
        <v>283</v>
      </c>
      <c r="N253" s="67">
        <v>11.0</v>
      </c>
      <c r="O253" s="68"/>
      <c r="P253" s="68"/>
      <c r="Q253" s="68"/>
    </row>
    <row r="254" hidden="1">
      <c r="A254" s="106">
        <v>439.0</v>
      </c>
      <c r="B254" s="82" t="s">
        <v>11</v>
      </c>
      <c r="C254" s="83"/>
      <c r="D254" s="84"/>
      <c r="E254" s="83"/>
      <c r="F254" s="66" t="s">
        <v>124</v>
      </c>
      <c r="G254" s="85" t="s">
        <v>129</v>
      </c>
      <c r="H254" s="86" t="s">
        <v>130</v>
      </c>
      <c r="I254" s="87" t="s">
        <v>131</v>
      </c>
      <c r="J254" s="62" t="s">
        <v>117</v>
      </c>
      <c r="K254" s="63">
        <v>45789.0</v>
      </c>
      <c r="L254" s="75"/>
      <c r="M254" s="68"/>
      <c r="N254" s="65">
        <v>25.0</v>
      </c>
      <c r="O254" s="67" t="s">
        <v>165</v>
      </c>
      <c r="P254" s="68"/>
      <c r="Q254" s="68"/>
    </row>
    <row r="255" hidden="1">
      <c r="A255" s="104">
        <v>439.0</v>
      </c>
      <c r="B255" s="89" t="s">
        <v>11</v>
      </c>
      <c r="C255" s="90"/>
      <c r="D255" s="91"/>
      <c r="E255" s="90"/>
      <c r="F255" s="66" t="s">
        <v>124</v>
      </c>
      <c r="G255" s="92" t="s">
        <v>133</v>
      </c>
      <c r="H255" s="93" t="s">
        <v>134</v>
      </c>
      <c r="I255" s="94" t="s">
        <v>135</v>
      </c>
      <c r="J255" s="62" t="s">
        <v>117</v>
      </c>
      <c r="K255" s="72">
        <v>45790.0</v>
      </c>
      <c r="L255" s="66" t="s">
        <v>118</v>
      </c>
      <c r="M255" s="67"/>
      <c r="N255" s="67">
        <v>75.0</v>
      </c>
      <c r="O255" s="67" t="s">
        <v>136</v>
      </c>
      <c r="P255" s="68"/>
      <c r="Q255" s="68"/>
    </row>
    <row r="256" hidden="1">
      <c r="A256" s="106">
        <v>439.0</v>
      </c>
      <c r="B256" s="82" t="s">
        <v>11</v>
      </c>
      <c r="C256" s="106"/>
      <c r="D256" s="82"/>
      <c r="E256" s="83"/>
      <c r="F256" s="58" t="s">
        <v>137</v>
      </c>
      <c r="G256" s="85" t="s">
        <v>129</v>
      </c>
      <c r="H256" s="92" t="s">
        <v>138</v>
      </c>
      <c r="I256" s="87" t="s">
        <v>139</v>
      </c>
      <c r="J256" s="62" t="s">
        <v>162</v>
      </c>
      <c r="K256" s="63"/>
      <c r="L256" s="99"/>
      <c r="M256" s="64"/>
      <c r="N256" s="102"/>
      <c r="O256" s="67"/>
      <c r="P256" s="68"/>
      <c r="Q256" s="68"/>
    </row>
    <row r="257" hidden="1">
      <c r="A257" s="106">
        <v>439.0</v>
      </c>
      <c r="B257" s="82" t="s">
        <v>11</v>
      </c>
      <c r="C257" s="97"/>
      <c r="D257" s="96"/>
      <c r="E257" s="98"/>
      <c r="F257" s="66" t="s">
        <v>124</v>
      </c>
      <c r="G257" s="58" t="s">
        <v>129</v>
      </c>
      <c r="H257" s="86" t="s">
        <v>130</v>
      </c>
      <c r="I257" s="61" t="s">
        <v>142</v>
      </c>
      <c r="J257" s="62" t="s">
        <v>117</v>
      </c>
      <c r="K257" s="63">
        <v>45818.0</v>
      </c>
      <c r="L257" s="99"/>
      <c r="M257" s="64" t="s">
        <v>143</v>
      </c>
      <c r="N257" s="65">
        <v>15.0</v>
      </c>
      <c r="O257" s="67"/>
      <c r="P257" s="68"/>
      <c r="Q257" s="68"/>
    </row>
    <row r="258" hidden="1">
      <c r="A258" s="106">
        <v>439.0</v>
      </c>
      <c r="B258" s="82" t="s">
        <v>11</v>
      </c>
      <c r="C258" s="97"/>
      <c r="D258" s="96"/>
      <c r="E258" s="98"/>
      <c r="F258" s="66" t="s">
        <v>124</v>
      </c>
      <c r="G258" s="66" t="s">
        <v>125</v>
      </c>
      <c r="H258" s="86" t="s">
        <v>130</v>
      </c>
      <c r="I258" s="61" t="s">
        <v>144</v>
      </c>
      <c r="J258" s="62" t="s">
        <v>117</v>
      </c>
      <c r="K258" s="63">
        <v>45818.0</v>
      </c>
      <c r="L258" s="99"/>
      <c r="M258" s="64" t="s">
        <v>145</v>
      </c>
      <c r="N258" s="65">
        <v>5.0</v>
      </c>
      <c r="O258" s="67"/>
      <c r="P258" s="68"/>
      <c r="Q258" s="68"/>
    </row>
    <row r="259" hidden="1">
      <c r="A259" s="106">
        <v>439.0</v>
      </c>
      <c r="B259" s="82" t="s">
        <v>11</v>
      </c>
      <c r="C259" s="97"/>
      <c r="D259" s="96"/>
      <c r="E259" s="98"/>
      <c r="F259" s="66" t="s">
        <v>124</v>
      </c>
      <c r="G259" s="66" t="s">
        <v>125</v>
      </c>
      <c r="H259" s="86" t="s">
        <v>146</v>
      </c>
      <c r="I259" s="61" t="s">
        <v>147</v>
      </c>
      <c r="J259" s="62" t="s">
        <v>117</v>
      </c>
      <c r="K259" s="63">
        <v>45818.0</v>
      </c>
      <c r="L259" s="62" t="s">
        <v>118</v>
      </c>
      <c r="M259" s="64" t="s">
        <v>148</v>
      </c>
      <c r="N259" s="65">
        <v>8.0</v>
      </c>
      <c r="O259" s="67" t="s">
        <v>149</v>
      </c>
      <c r="P259" s="68"/>
      <c r="Q259" s="68"/>
    </row>
    <row r="260">
      <c r="A260" s="100">
        <v>439.0</v>
      </c>
      <c r="B260" s="78" t="s">
        <v>11</v>
      </c>
      <c r="C260" s="101">
        <v>45702.0</v>
      </c>
      <c r="D260" s="56" t="s">
        <v>284</v>
      </c>
      <c r="E260" s="90" t="s">
        <v>242</v>
      </c>
      <c r="F260" s="58" t="s">
        <v>116</v>
      </c>
      <c r="G260" s="59"/>
      <c r="H260" s="60"/>
      <c r="I260" s="61"/>
      <c r="J260" s="62"/>
      <c r="K260" s="63"/>
      <c r="L260" s="62"/>
      <c r="M260" s="64"/>
      <c r="N260" s="102"/>
      <c r="O260" s="67"/>
      <c r="P260" s="68"/>
      <c r="Q260" s="68"/>
    </row>
    <row r="261" hidden="1">
      <c r="A261" s="109">
        <v>440.0</v>
      </c>
      <c r="B261" s="89" t="s">
        <v>11</v>
      </c>
      <c r="C261" s="90"/>
      <c r="D261" s="91" t="s">
        <v>122</v>
      </c>
      <c r="E261" s="89" t="s">
        <v>123</v>
      </c>
      <c r="F261" s="66" t="s">
        <v>124</v>
      </c>
      <c r="G261" s="66" t="s">
        <v>125</v>
      </c>
      <c r="H261" s="66" t="s">
        <v>126</v>
      </c>
      <c r="I261" s="67" t="s">
        <v>127</v>
      </c>
      <c r="J261" s="62" t="s">
        <v>117</v>
      </c>
      <c r="K261" s="72">
        <v>45736.0</v>
      </c>
      <c r="L261" s="103"/>
      <c r="M261" s="67" t="s">
        <v>188</v>
      </c>
      <c r="N261" s="67">
        <v>16.0</v>
      </c>
      <c r="O261" s="68"/>
      <c r="P261" s="68"/>
      <c r="Q261" s="68"/>
    </row>
    <row r="262" hidden="1">
      <c r="A262" s="104">
        <v>440.0</v>
      </c>
      <c r="B262" s="89" t="s">
        <v>11</v>
      </c>
      <c r="C262" s="90"/>
      <c r="D262" s="91"/>
      <c r="E262" s="90"/>
      <c r="F262" s="58" t="s">
        <v>137</v>
      </c>
      <c r="G262" s="66" t="s">
        <v>125</v>
      </c>
      <c r="H262" s="93" t="s">
        <v>181</v>
      </c>
      <c r="I262" s="94" t="s">
        <v>285</v>
      </c>
      <c r="J262" s="62" t="s">
        <v>117</v>
      </c>
      <c r="K262" s="72">
        <v>45777.0</v>
      </c>
      <c r="L262" s="103"/>
      <c r="M262" s="67" t="s">
        <v>286</v>
      </c>
      <c r="N262" s="67">
        <v>2.0</v>
      </c>
      <c r="O262" s="68"/>
      <c r="P262" s="68"/>
      <c r="Q262" s="68"/>
    </row>
    <row r="263" hidden="1">
      <c r="A263" s="106">
        <v>440.0</v>
      </c>
      <c r="B263" s="82" t="s">
        <v>11</v>
      </c>
      <c r="C263" s="83"/>
      <c r="D263" s="84"/>
      <c r="E263" s="83"/>
      <c r="F263" s="66" t="s">
        <v>124</v>
      </c>
      <c r="G263" s="85" t="s">
        <v>129</v>
      </c>
      <c r="H263" s="86" t="s">
        <v>130</v>
      </c>
      <c r="I263" s="87" t="s">
        <v>131</v>
      </c>
      <c r="J263" s="62" t="s">
        <v>117</v>
      </c>
      <c r="K263" s="63">
        <v>45789.0</v>
      </c>
      <c r="L263" s="75"/>
      <c r="M263" s="68"/>
      <c r="N263" s="65">
        <v>25.0</v>
      </c>
      <c r="O263" s="67" t="s">
        <v>165</v>
      </c>
      <c r="P263" s="68"/>
      <c r="Q263" s="68"/>
    </row>
    <row r="264" hidden="1">
      <c r="A264" s="104">
        <v>440.0</v>
      </c>
      <c r="B264" s="89" t="s">
        <v>11</v>
      </c>
      <c r="C264" s="90"/>
      <c r="D264" s="91"/>
      <c r="E264" s="90"/>
      <c r="F264" s="66" t="s">
        <v>124</v>
      </c>
      <c r="G264" s="92" t="s">
        <v>133</v>
      </c>
      <c r="H264" s="93" t="s">
        <v>134</v>
      </c>
      <c r="I264" s="94" t="s">
        <v>135</v>
      </c>
      <c r="J264" s="62" t="s">
        <v>117</v>
      </c>
      <c r="K264" s="72">
        <v>45790.0</v>
      </c>
      <c r="L264" s="66" t="s">
        <v>118</v>
      </c>
      <c r="M264" s="67"/>
      <c r="N264" s="67">
        <v>75.0</v>
      </c>
      <c r="O264" s="67" t="s">
        <v>136</v>
      </c>
      <c r="P264" s="68"/>
      <c r="Q264" s="68"/>
    </row>
    <row r="265" hidden="1">
      <c r="A265" s="97">
        <v>440.0</v>
      </c>
      <c r="B265" s="96" t="s">
        <v>11</v>
      </c>
      <c r="C265" s="97"/>
      <c r="D265" s="96"/>
      <c r="E265" s="98"/>
      <c r="F265" s="58" t="s">
        <v>137</v>
      </c>
      <c r="G265" s="58" t="s">
        <v>129</v>
      </c>
      <c r="H265" s="86" t="s">
        <v>138</v>
      </c>
      <c r="I265" s="61" t="s">
        <v>139</v>
      </c>
      <c r="J265" s="62" t="s">
        <v>162</v>
      </c>
      <c r="K265" s="63"/>
      <c r="L265" s="99"/>
      <c r="M265" s="64"/>
      <c r="N265" s="102"/>
      <c r="O265" s="67"/>
      <c r="P265" s="68"/>
      <c r="Q265" s="68"/>
    </row>
    <row r="266" hidden="1">
      <c r="A266" s="106">
        <v>440.0</v>
      </c>
      <c r="B266" s="82" t="s">
        <v>11</v>
      </c>
      <c r="C266" s="97"/>
      <c r="D266" s="96"/>
      <c r="E266" s="98"/>
      <c r="F266" s="66" t="s">
        <v>124</v>
      </c>
      <c r="G266" s="58" t="s">
        <v>129</v>
      </c>
      <c r="H266" s="86" t="s">
        <v>130</v>
      </c>
      <c r="I266" s="61" t="s">
        <v>142</v>
      </c>
      <c r="J266" s="62" t="s">
        <v>117</v>
      </c>
      <c r="K266" s="63">
        <v>45818.0</v>
      </c>
      <c r="L266" s="99"/>
      <c r="M266" s="64" t="s">
        <v>143</v>
      </c>
      <c r="N266" s="65">
        <v>15.0</v>
      </c>
      <c r="O266" s="67"/>
      <c r="P266" s="68"/>
      <c r="Q266" s="68"/>
    </row>
    <row r="267" hidden="1">
      <c r="A267" s="106">
        <v>440.0</v>
      </c>
      <c r="B267" s="82" t="s">
        <v>11</v>
      </c>
      <c r="C267" s="97"/>
      <c r="D267" s="96"/>
      <c r="E267" s="98"/>
      <c r="F267" s="66" t="s">
        <v>124</v>
      </c>
      <c r="G267" s="66" t="s">
        <v>125</v>
      </c>
      <c r="H267" s="86" t="s">
        <v>130</v>
      </c>
      <c r="I267" s="61" t="s">
        <v>144</v>
      </c>
      <c r="J267" s="62" t="s">
        <v>117</v>
      </c>
      <c r="K267" s="63">
        <v>45818.0</v>
      </c>
      <c r="L267" s="99"/>
      <c r="M267" s="64" t="s">
        <v>145</v>
      </c>
      <c r="N267" s="65">
        <v>5.0</v>
      </c>
      <c r="O267" s="67"/>
      <c r="P267" s="68"/>
      <c r="Q267" s="68"/>
    </row>
    <row r="268" hidden="1">
      <c r="A268" s="106">
        <v>440.0</v>
      </c>
      <c r="B268" s="82" t="s">
        <v>11</v>
      </c>
      <c r="C268" s="97"/>
      <c r="D268" s="96"/>
      <c r="E268" s="98"/>
      <c r="F268" s="66" t="s">
        <v>124</v>
      </c>
      <c r="G268" s="66" t="s">
        <v>125</v>
      </c>
      <c r="H268" s="86" t="s">
        <v>146</v>
      </c>
      <c r="I268" s="61" t="s">
        <v>147</v>
      </c>
      <c r="J268" s="62" t="s">
        <v>117</v>
      </c>
      <c r="K268" s="63">
        <v>45818.0</v>
      </c>
      <c r="L268" s="62" t="s">
        <v>118</v>
      </c>
      <c r="M268" s="64" t="s">
        <v>148</v>
      </c>
      <c r="N268" s="65">
        <v>8.0</v>
      </c>
      <c r="O268" s="67" t="s">
        <v>149</v>
      </c>
      <c r="P268" s="68"/>
      <c r="Q268" s="68"/>
    </row>
    <row r="269">
      <c r="A269" s="109">
        <v>440.0</v>
      </c>
      <c r="B269" s="78" t="s">
        <v>11</v>
      </c>
      <c r="C269" s="101">
        <v>45702.0</v>
      </c>
      <c r="D269" s="56" t="s">
        <v>287</v>
      </c>
      <c r="E269" s="90" t="s">
        <v>242</v>
      </c>
      <c r="F269" s="58" t="s">
        <v>116</v>
      </c>
      <c r="G269" s="59"/>
      <c r="H269" s="60"/>
      <c r="I269" s="61"/>
      <c r="J269" s="62"/>
      <c r="K269" s="63"/>
      <c r="L269" s="62"/>
      <c r="M269" s="64"/>
      <c r="N269" s="102"/>
      <c r="O269" s="67"/>
      <c r="P269" s="68"/>
      <c r="Q269" s="68"/>
    </row>
    <row r="270" hidden="1">
      <c r="A270" s="100">
        <v>441.0</v>
      </c>
      <c r="B270" s="78" t="s">
        <v>11</v>
      </c>
      <c r="C270" s="57"/>
      <c r="D270" s="56" t="s">
        <v>122</v>
      </c>
      <c r="E270" s="79" t="s">
        <v>123</v>
      </c>
      <c r="F270" s="66" t="s">
        <v>124</v>
      </c>
      <c r="G270" s="66" t="s">
        <v>125</v>
      </c>
      <c r="H270" s="66" t="s">
        <v>126</v>
      </c>
      <c r="I270" s="67" t="s">
        <v>127</v>
      </c>
      <c r="J270" s="62" t="s">
        <v>117</v>
      </c>
      <c r="K270" s="72">
        <v>45736.0</v>
      </c>
      <c r="L270" s="103"/>
      <c r="M270" s="67" t="s">
        <v>208</v>
      </c>
      <c r="N270" s="67">
        <v>13.0</v>
      </c>
      <c r="O270" s="68"/>
      <c r="P270" s="68"/>
      <c r="Q270" s="68"/>
    </row>
    <row r="271" hidden="1">
      <c r="A271" s="106">
        <v>441.0</v>
      </c>
      <c r="B271" s="82" t="s">
        <v>11</v>
      </c>
      <c r="C271" s="83"/>
      <c r="D271" s="84"/>
      <c r="E271" s="83"/>
      <c r="F271" s="66" t="s">
        <v>124</v>
      </c>
      <c r="G271" s="85" t="s">
        <v>129</v>
      </c>
      <c r="H271" s="86" t="s">
        <v>130</v>
      </c>
      <c r="I271" s="87" t="s">
        <v>131</v>
      </c>
      <c r="J271" s="62" t="s">
        <v>117</v>
      </c>
      <c r="K271" s="63">
        <v>45789.0</v>
      </c>
      <c r="L271" s="75"/>
      <c r="M271" s="159"/>
      <c r="N271" s="65">
        <v>25.0</v>
      </c>
      <c r="O271" s="67" t="s">
        <v>165</v>
      </c>
      <c r="P271" s="68"/>
      <c r="Q271" s="68"/>
    </row>
    <row r="272" hidden="1">
      <c r="A272" s="104">
        <v>441.0</v>
      </c>
      <c r="B272" s="89" t="s">
        <v>11</v>
      </c>
      <c r="C272" s="90"/>
      <c r="D272" s="91"/>
      <c r="E272" s="90"/>
      <c r="F272" s="66" t="s">
        <v>124</v>
      </c>
      <c r="G272" s="92" t="s">
        <v>133</v>
      </c>
      <c r="H272" s="93" t="s">
        <v>134</v>
      </c>
      <c r="I272" s="94" t="s">
        <v>135</v>
      </c>
      <c r="J272" s="62" t="s">
        <v>117</v>
      </c>
      <c r="K272" s="72">
        <v>45790.0</v>
      </c>
      <c r="L272" s="103"/>
      <c r="M272" s="67" t="s">
        <v>288</v>
      </c>
      <c r="N272" s="67">
        <v>75.0</v>
      </c>
      <c r="O272" s="67" t="s">
        <v>136</v>
      </c>
      <c r="P272" s="68"/>
      <c r="Q272" s="68"/>
    </row>
    <row r="273" hidden="1">
      <c r="A273" s="104">
        <v>441.0</v>
      </c>
      <c r="B273" s="145" t="s">
        <v>11</v>
      </c>
      <c r="C273" s="146"/>
      <c r="D273" s="146"/>
      <c r="E273" s="146"/>
      <c r="F273" s="58" t="s">
        <v>137</v>
      </c>
      <c r="G273" s="134" t="s">
        <v>129</v>
      </c>
      <c r="H273" s="93" t="s">
        <v>160</v>
      </c>
      <c r="I273" s="108" t="s">
        <v>167</v>
      </c>
      <c r="J273" s="62" t="s">
        <v>117</v>
      </c>
      <c r="K273" s="72">
        <v>45790.0</v>
      </c>
      <c r="L273" s="103"/>
      <c r="M273" s="67" t="s">
        <v>289</v>
      </c>
      <c r="N273" s="67">
        <v>25.0</v>
      </c>
      <c r="O273" s="67" t="s">
        <v>169</v>
      </c>
      <c r="P273" s="68"/>
      <c r="Q273" s="68"/>
    </row>
    <row r="274" hidden="1">
      <c r="A274" s="104">
        <v>441.0</v>
      </c>
      <c r="B274" s="145" t="s">
        <v>11</v>
      </c>
      <c r="C274" s="146"/>
      <c r="D274" s="146"/>
      <c r="E274" s="146"/>
      <c r="F274" s="58" t="s">
        <v>137</v>
      </c>
      <c r="G274" s="134" t="s">
        <v>129</v>
      </c>
      <c r="H274" s="93" t="s">
        <v>160</v>
      </c>
      <c r="I274" s="154" t="s">
        <v>170</v>
      </c>
      <c r="J274" s="138" t="s">
        <v>117</v>
      </c>
      <c r="K274" s="139">
        <v>45790.0</v>
      </c>
      <c r="L274" s="103"/>
      <c r="M274" s="67" t="s">
        <v>171</v>
      </c>
      <c r="N274" s="67">
        <v>15.0</v>
      </c>
      <c r="O274" s="67" t="s">
        <v>172</v>
      </c>
      <c r="P274" s="68"/>
      <c r="Q274" s="68"/>
    </row>
    <row r="275" hidden="1">
      <c r="A275" s="97">
        <v>441.0</v>
      </c>
      <c r="B275" s="96" t="s">
        <v>11</v>
      </c>
      <c r="C275" s="97"/>
      <c r="D275" s="96"/>
      <c r="E275" s="98"/>
      <c r="F275" s="58" t="s">
        <v>137</v>
      </c>
      <c r="G275" s="58" t="s">
        <v>129</v>
      </c>
      <c r="H275" s="86" t="s">
        <v>138</v>
      </c>
      <c r="I275" s="61" t="s">
        <v>139</v>
      </c>
      <c r="J275" s="62" t="s">
        <v>117</v>
      </c>
      <c r="K275" s="63">
        <v>45796.0</v>
      </c>
      <c r="L275" s="99"/>
      <c r="M275" s="64" t="s">
        <v>140</v>
      </c>
      <c r="N275" s="65">
        <v>6.0</v>
      </c>
      <c r="O275" s="67" t="s">
        <v>141</v>
      </c>
      <c r="P275" s="68"/>
      <c r="Q275" s="68"/>
    </row>
    <row r="276" hidden="1">
      <c r="A276" s="104">
        <v>441.0</v>
      </c>
      <c r="B276" s="89" t="s">
        <v>11</v>
      </c>
      <c r="C276" s="90"/>
      <c r="D276" s="91"/>
      <c r="E276" s="90"/>
      <c r="F276" s="58" t="s">
        <v>137</v>
      </c>
      <c r="G276" s="92" t="s">
        <v>129</v>
      </c>
      <c r="H276" s="93" t="s">
        <v>160</v>
      </c>
      <c r="I276" s="94" t="s">
        <v>173</v>
      </c>
      <c r="J276" s="62" t="s">
        <v>117</v>
      </c>
      <c r="K276" s="72">
        <v>45782.0</v>
      </c>
      <c r="L276" s="140"/>
      <c r="M276" s="87" t="s">
        <v>290</v>
      </c>
      <c r="N276" s="67">
        <v>15.0</v>
      </c>
      <c r="O276" s="68"/>
      <c r="P276" s="68"/>
      <c r="Q276" s="68"/>
    </row>
    <row r="277" hidden="1">
      <c r="A277" s="104">
        <v>441.0</v>
      </c>
      <c r="B277" s="89" t="s">
        <v>11</v>
      </c>
      <c r="C277" s="90"/>
      <c r="D277" s="91"/>
      <c r="E277" s="90"/>
      <c r="F277" s="58" t="s">
        <v>137</v>
      </c>
      <c r="G277" s="66" t="s">
        <v>125</v>
      </c>
      <c r="H277" s="86" t="s">
        <v>134</v>
      </c>
      <c r="I277" s="40" t="s">
        <v>191</v>
      </c>
      <c r="J277" s="62" t="s">
        <v>117</v>
      </c>
      <c r="K277" s="72">
        <v>45806.0</v>
      </c>
      <c r="L277" s="92" t="s">
        <v>118</v>
      </c>
      <c r="M277" s="87" t="s">
        <v>291</v>
      </c>
      <c r="N277" s="67">
        <v>5.0</v>
      </c>
      <c r="O277" s="68"/>
      <c r="P277" s="68"/>
      <c r="Q277" s="68"/>
    </row>
    <row r="278" hidden="1">
      <c r="A278" s="106">
        <v>441.0</v>
      </c>
      <c r="B278" s="82" t="s">
        <v>11</v>
      </c>
      <c r="C278" s="97"/>
      <c r="D278" s="96"/>
      <c r="E278" s="98"/>
      <c r="F278" s="66" t="s">
        <v>124</v>
      </c>
      <c r="G278" s="58" t="s">
        <v>129</v>
      </c>
      <c r="H278" s="86" t="s">
        <v>130</v>
      </c>
      <c r="I278" s="61" t="s">
        <v>142</v>
      </c>
      <c r="J278" s="62" t="s">
        <v>117</v>
      </c>
      <c r="K278" s="63">
        <v>45818.0</v>
      </c>
      <c r="L278" s="99"/>
      <c r="M278" s="64" t="s">
        <v>143</v>
      </c>
      <c r="N278" s="65">
        <v>15.0</v>
      </c>
      <c r="O278" s="67"/>
      <c r="P278" s="68"/>
      <c r="Q278" s="68"/>
    </row>
    <row r="279" hidden="1">
      <c r="A279" s="106">
        <v>441.0</v>
      </c>
      <c r="B279" s="82" t="s">
        <v>11</v>
      </c>
      <c r="C279" s="97"/>
      <c r="D279" s="96"/>
      <c r="E279" s="98"/>
      <c r="F279" s="66" t="s">
        <v>124</v>
      </c>
      <c r="G279" s="66" t="s">
        <v>125</v>
      </c>
      <c r="H279" s="86" t="s">
        <v>130</v>
      </c>
      <c r="I279" s="61" t="s">
        <v>144</v>
      </c>
      <c r="J279" s="62" t="s">
        <v>117</v>
      </c>
      <c r="K279" s="63">
        <v>45818.0</v>
      </c>
      <c r="L279" s="99"/>
      <c r="M279" s="64" t="s">
        <v>145</v>
      </c>
      <c r="N279" s="65">
        <v>5.0</v>
      </c>
      <c r="O279" s="67"/>
      <c r="P279" s="68"/>
      <c r="Q279" s="68"/>
    </row>
    <row r="280" hidden="1">
      <c r="A280" s="106">
        <v>441.0</v>
      </c>
      <c r="B280" s="82" t="s">
        <v>11</v>
      </c>
      <c r="C280" s="97"/>
      <c r="D280" s="96"/>
      <c r="E280" s="98"/>
      <c r="F280" s="66" t="s">
        <v>124</v>
      </c>
      <c r="G280" s="66" t="s">
        <v>125</v>
      </c>
      <c r="H280" s="86" t="s">
        <v>146</v>
      </c>
      <c r="I280" s="61" t="s">
        <v>147</v>
      </c>
      <c r="J280" s="62" t="s">
        <v>117</v>
      </c>
      <c r="K280" s="63">
        <v>45818.0</v>
      </c>
      <c r="L280" s="62" t="s">
        <v>118</v>
      </c>
      <c r="M280" s="64" t="s">
        <v>148</v>
      </c>
      <c r="N280" s="65">
        <v>8.0</v>
      </c>
      <c r="O280" s="67" t="s">
        <v>149</v>
      </c>
      <c r="P280" s="68"/>
      <c r="Q280" s="68"/>
    </row>
    <row r="281">
      <c r="A281" s="100">
        <v>441.0</v>
      </c>
      <c r="B281" s="78" t="s">
        <v>11</v>
      </c>
      <c r="C281" s="101">
        <v>45702.0</v>
      </c>
      <c r="D281" s="56" t="s">
        <v>292</v>
      </c>
      <c r="E281" s="90" t="s">
        <v>242</v>
      </c>
      <c r="F281" s="58" t="s">
        <v>116</v>
      </c>
      <c r="G281" s="59"/>
      <c r="H281" s="60"/>
      <c r="I281" s="61"/>
      <c r="J281" s="62"/>
      <c r="K281" s="63"/>
      <c r="L281" s="62"/>
      <c r="M281" s="64"/>
      <c r="N281" s="102"/>
      <c r="O281" s="67"/>
      <c r="P281" s="68"/>
      <c r="Q281" s="68"/>
    </row>
    <row r="282" hidden="1">
      <c r="A282" s="100">
        <v>442.0</v>
      </c>
      <c r="B282" s="78" t="s">
        <v>11</v>
      </c>
      <c r="C282" s="57"/>
      <c r="D282" s="56" t="s">
        <v>122</v>
      </c>
      <c r="E282" s="79" t="s">
        <v>123</v>
      </c>
      <c r="F282" s="66" t="s">
        <v>124</v>
      </c>
      <c r="G282" s="66" t="s">
        <v>125</v>
      </c>
      <c r="H282" s="66" t="s">
        <v>126</v>
      </c>
      <c r="I282" s="67" t="s">
        <v>127</v>
      </c>
      <c r="J282" s="62" t="s">
        <v>117</v>
      </c>
      <c r="K282" s="72">
        <v>45736.0</v>
      </c>
      <c r="L282" s="103"/>
      <c r="M282" s="67" t="s">
        <v>293</v>
      </c>
      <c r="N282" s="67">
        <v>22.0</v>
      </c>
      <c r="O282" s="68"/>
      <c r="P282" s="68"/>
      <c r="Q282" s="68"/>
    </row>
    <row r="283" hidden="1">
      <c r="A283" s="106">
        <v>442.0</v>
      </c>
      <c r="B283" s="82" t="s">
        <v>11</v>
      </c>
      <c r="C283" s="83"/>
      <c r="D283" s="84"/>
      <c r="E283" s="83"/>
      <c r="F283" s="66" t="s">
        <v>124</v>
      </c>
      <c r="G283" s="85" t="s">
        <v>129</v>
      </c>
      <c r="H283" s="86" t="s">
        <v>130</v>
      </c>
      <c r="I283" s="87" t="s">
        <v>131</v>
      </c>
      <c r="J283" s="62" t="s">
        <v>117</v>
      </c>
      <c r="K283" s="63">
        <v>45789.0</v>
      </c>
      <c r="L283" s="75"/>
      <c r="M283" s="68"/>
      <c r="N283" s="65">
        <v>25.0</v>
      </c>
      <c r="O283" s="67" t="s">
        <v>165</v>
      </c>
      <c r="P283" s="68"/>
      <c r="Q283" s="68"/>
    </row>
    <row r="284" hidden="1">
      <c r="A284" s="104">
        <v>442.0</v>
      </c>
      <c r="B284" s="89" t="s">
        <v>11</v>
      </c>
      <c r="C284" s="90"/>
      <c r="D284" s="91"/>
      <c r="E284" s="90"/>
      <c r="F284" s="66" t="s">
        <v>124</v>
      </c>
      <c r="G284" s="92" t="s">
        <v>133</v>
      </c>
      <c r="H284" s="93" t="s">
        <v>134</v>
      </c>
      <c r="I284" s="94" t="s">
        <v>135</v>
      </c>
      <c r="J284" s="62" t="s">
        <v>117</v>
      </c>
      <c r="K284" s="72">
        <v>45790.0</v>
      </c>
      <c r="L284" s="103"/>
      <c r="M284" s="67"/>
      <c r="N284" s="67">
        <v>75.0</v>
      </c>
      <c r="O284" s="67" t="s">
        <v>136</v>
      </c>
      <c r="P284" s="68"/>
      <c r="Q284" s="68"/>
    </row>
    <row r="285" hidden="1">
      <c r="A285" s="104">
        <v>442.0</v>
      </c>
      <c r="B285" s="145" t="s">
        <v>11</v>
      </c>
      <c r="C285" s="146"/>
      <c r="D285" s="146"/>
      <c r="E285" s="146"/>
      <c r="F285" s="58" t="s">
        <v>137</v>
      </c>
      <c r="G285" s="134" t="s">
        <v>129</v>
      </c>
      <c r="H285" s="93" t="s">
        <v>160</v>
      </c>
      <c r="I285" s="108" t="s">
        <v>167</v>
      </c>
      <c r="J285" s="62" t="s">
        <v>117</v>
      </c>
      <c r="K285" s="72">
        <v>45790.0</v>
      </c>
      <c r="L285" s="103"/>
      <c r="M285" s="67" t="s">
        <v>244</v>
      </c>
      <c r="N285" s="67">
        <v>25.0</v>
      </c>
      <c r="O285" s="67" t="s">
        <v>169</v>
      </c>
      <c r="P285" s="68"/>
      <c r="Q285" s="68"/>
    </row>
    <row r="286" hidden="1">
      <c r="A286" s="104">
        <v>442.0</v>
      </c>
      <c r="B286" s="135" t="s">
        <v>11</v>
      </c>
      <c r="C286" s="136"/>
      <c r="D286" s="136"/>
      <c r="E286" s="136"/>
      <c r="F286" s="58" t="s">
        <v>137</v>
      </c>
      <c r="G286" s="134" t="s">
        <v>129</v>
      </c>
      <c r="H286" s="93" t="s">
        <v>160</v>
      </c>
      <c r="I286" s="143" t="s">
        <v>170</v>
      </c>
      <c r="J286" s="138" t="s">
        <v>117</v>
      </c>
      <c r="K286" s="139">
        <v>45790.0</v>
      </c>
      <c r="L286" s="103"/>
      <c r="M286" s="67" t="s">
        <v>171</v>
      </c>
      <c r="N286" s="67">
        <v>15.0</v>
      </c>
      <c r="O286" s="67" t="s">
        <v>172</v>
      </c>
      <c r="P286" s="68"/>
      <c r="Q286" s="68"/>
    </row>
    <row r="287" hidden="1">
      <c r="A287" s="104">
        <v>442.0</v>
      </c>
      <c r="B287" s="89" t="s">
        <v>11</v>
      </c>
      <c r="C287" s="90"/>
      <c r="D287" s="91"/>
      <c r="E287" s="90"/>
      <c r="F287" s="58" t="s">
        <v>137</v>
      </c>
      <c r="G287" s="111" t="s">
        <v>129</v>
      </c>
      <c r="H287" s="93" t="s">
        <v>160</v>
      </c>
      <c r="I287" s="94" t="s">
        <v>173</v>
      </c>
      <c r="J287" s="62" t="s">
        <v>117</v>
      </c>
      <c r="K287" s="72">
        <v>45782.0</v>
      </c>
      <c r="L287" s="140"/>
      <c r="M287" s="87" t="s">
        <v>294</v>
      </c>
      <c r="N287" s="67">
        <v>25.0</v>
      </c>
      <c r="O287" s="68"/>
      <c r="P287" s="68"/>
      <c r="Q287" s="68"/>
    </row>
    <row r="288" hidden="1">
      <c r="A288" s="97">
        <v>442.0</v>
      </c>
      <c r="B288" s="96" t="s">
        <v>11</v>
      </c>
      <c r="C288" s="97"/>
      <c r="D288" s="96"/>
      <c r="E288" s="98"/>
      <c r="F288" s="58" t="s">
        <v>137</v>
      </c>
      <c r="G288" s="58" t="s">
        <v>129</v>
      </c>
      <c r="H288" s="86" t="s">
        <v>138</v>
      </c>
      <c r="I288" s="61" t="s">
        <v>139</v>
      </c>
      <c r="J288" s="62" t="s">
        <v>117</v>
      </c>
      <c r="K288" s="63"/>
      <c r="L288" s="62" t="s">
        <v>118</v>
      </c>
      <c r="M288" s="64" t="s">
        <v>140</v>
      </c>
      <c r="N288" s="65">
        <v>6.0</v>
      </c>
      <c r="O288" s="67" t="s">
        <v>141</v>
      </c>
      <c r="P288" s="68"/>
      <c r="Q288" s="68"/>
    </row>
    <row r="289" hidden="1">
      <c r="A289" s="97">
        <v>442.0</v>
      </c>
      <c r="B289" s="96" t="s">
        <v>11</v>
      </c>
      <c r="C289" s="97"/>
      <c r="D289" s="96"/>
      <c r="E289" s="98"/>
      <c r="F289" s="58" t="s">
        <v>137</v>
      </c>
      <c r="G289" s="66" t="s">
        <v>125</v>
      </c>
      <c r="H289" s="114" t="s">
        <v>181</v>
      </c>
      <c r="I289" s="115" t="s">
        <v>295</v>
      </c>
      <c r="J289" s="62" t="s">
        <v>162</v>
      </c>
      <c r="K289" s="63"/>
      <c r="L289" s="99"/>
      <c r="M289" s="64"/>
      <c r="N289" s="65"/>
      <c r="O289" s="67"/>
      <c r="P289" s="68"/>
      <c r="Q289" s="68"/>
    </row>
    <row r="290" hidden="1">
      <c r="A290" s="106">
        <v>442.0</v>
      </c>
      <c r="B290" s="82" t="s">
        <v>11</v>
      </c>
      <c r="C290" s="97"/>
      <c r="D290" s="96"/>
      <c r="E290" s="98"/>
      <c r="F290" s="66" t="s">
        <v>124</v>
      </c>
      <c r="G290" s="58" t="s">
        <v>129</v>
      </c>
      <c r="H290" s="86" t="s">
        <v>130</v>
      </c>
      <c r="I290" s="61" t="s">
        <v>142</v>
      </c>
      <c r="J290" s="62" t="s">
        <v>117</v>
      </c>
      <c r="K290" s="63">
        <v>45818.0</v>
      </c>
      <c r="L290" s="99"/>
      <c r="M290" s="64" t="s">
        <v>143</v>
      </c>
      <c r="N290" s="65">
        <v>15.0</v>
      </c>
      <c r="O290" s="67"/>
      <c r="P290" s="68"/>
      <c r="Q290" s="68"/>
    </row>
    <row r="291" hidden="1">
      <c r="A291" s="106">
        <v>442.0</v>
      </c>
      <c r="B291" s="82" t="s">
        <v>11</v>
      </c>
      <c r="C291" s="97"/>
      <c r="D291" s="96"/>
      <c r="E291" s="98"/>
      <c r="F291" s="66" t="s">
        <v>124</v>
      </c>
      <c r="G291" s="66" t="s">
        <v>125</v>
      </c>
      <c r="H291" s="86" t="s">
        <v>130</v>
      </c>
      <c r="I291" s="61" t="s">
        <v>144</v>
      </c>
      <c r="J291" s="62" t="s">
        <v>117</v>
      </c>
      <c r="K291" s="63">
        <v>45818.0</v>
      </c>
      <c r="L291" s="99"/>
      <c r="M291" s="64" t="s">
        <v>145</v>
      </c>
      <c r="N291" s="65">
        <v>5.0</v>
      </c>
      <c r="O291" s="67"/>
      <c r="P291" s="68"/>
      <c r="Q291" s="68"/>
    </row>
    <row r="292" hidden="1">
      <c r="A292" s="106">
        <v>442.0</v>
      </c>
      <c r="B292" s="82" t="s">
        <v>11</v>
      </c>
      <c r="C292" s="97"/>
      <c r="D292" s="96"/>
      <c r="E292" s="98"/>
      <c r="F292" s="66" t="s">
        <v>124</v>
      </c>
      <c r="G292" s="66" t="s">
        <v>125</v>
      </c>
      <c r="H292" s="86" t="s">
        <v>146</v>
      </c>
      <c r="I292" s="61" t="s">
        <v>147</v>
      </c>
      <c r="J292" s="62" t="s">
        <v>117</v>
      </c>
      <c r="K292" s="63">
        <v>45818.0</v>
      </c>
      <c r="L292" s="62" t="s">
        <v>118</v>
      </c>
      <c r="M292" s="64" t="s">
        <v>148</v>
      </c>
      <c r="N292" s="65">
        <v>8.0</v>
      </c>
      <c r="O292" s="67" t="s">
        <v>149</v>
      </c>
      <c r="P292" s="68"/>
      <c r="Q292" s="68"/>
    </row>
    <row r="293">
      <c r="A293" s="100">
        <v>442.0</v>
      </c>
      <c r="B293" s="78" t="s">
        <v>11</v>
      </c>
      <c r="C293" s="101">
        <v>45702.0</v>
      </c>
      <c r="D293" s="56" t="s">
        <v>296</v>
      </c>
      <c r="E293" s="90" t="s">
        <v>242</v>
      </c>
      <c r="F293" s="58" t="s">
        <v>116</v>
      </c>
      <c r="G293" s="59"/>
      <c r="H293" s="60"/>
      <c r="I293" s="61"/>
      <c r="J293" s="62"/>
      <c r="K293" s="63"/>
      <c r="L293" s="62"/>
      <c r="M293" s="64"/>
      <c r="N293" s="102"/>
      <c r="O293" s="67"/>
      <c r="P293" s="68"/>
      <c r="Q293" s="68"/>
    </row>
    <row r="294" hidden="1">
      <c r="A294" s="104">
        <v>443.0</v>
      </c>
      <c r="B294" s="90" t="s">
        <v>11</v>
      </c>
      <c r="C294" s="90"/>
      <c r="D294" s="91"/>
      <c r="E294" s="90"/>
      <c r="F294" s="58" t="s">
        <v>137</v>
      </c>
      <c r="G294" s="92" t="s">
        <v>194</v>
      </c>
      <c r="H294" s="93" t="s">
        <v>194</v>
      </c>
      <c r="I294" s="94" t="s">
        <v>297</v>
      </c>
      <c r="J294" s="62" t="s">
        <v>117</v>
      </c>
      <c r="K294" s="72" t="s">
        <v>257</v>
      </c>
      <c r="L294" s="103"/>
      <c r="M294" s="67" t="s">
        <v>298</v>
      </c>
      <c r="N294" s="67">
        <v>5.0</v>
      </c>
      <c r="O294" s="67"/>
      <c r="P294" s="68"/>
      <c r="Q294" s="68"/>
    </row>
    <row r="295" hidden="1">
      <c r="A295" s="100">
        <v>443.0</v>
      </c>
      <c r="B295" s="78" t="s">
        <v>11</v>
      </c>
      <c r="C295" s="57"/>
      <c r="D295" s="56" t="s">
        <v>122</v>
      </c>
      <c r="E295" s="79" t="s">
        <v>123</v>
      </c>
      <c r="F295" s="66" t="s">
        <v>124</v>
      </c>
      <c r="G295" s="66" t="s">
        <v>125</v>
      </c>
      <c r="H295" s="66" t="s">
        <v>126</v>
      </c>
      <c r="I295" s="67" t="s">
        <v>127</v>
      </c>
      <c r="J295" s="62" t="s">
        <v>117</v>
      </c>
      <c r="K295" s="72">
        <v>45736.0</v>
      </c>
      <c r="L295" s="103"/>
      <c r="M295" s="67" t="s">
        <v>176</v>
      </c>
      <c r="N295" s="67">
        <v>12.0</v>
      </c>
      <c r="O295" s="68"/>
      <c r="P295" s="68"/>
      <c r="Q295" s="68"/>
    </row>
    <row r="296" hidden="1">
      <c r="A296" s="104">
        <v>443.0</v>
      </c>
      <c r="B296" s="90" t="s">
        <v>11</v>
      </c>
      <c r="C296" s="90"/>
      <c r="D296" s="91"/>
      <c r="E296" s="90"/>
      <c r="F296" s="58" t="s">
        <v>137</v>
      </c>
      <c r="G296" s="93" t="s">
        <v>129</v>
      </c>
      <c r="H296" s="93" t="s">
        <v>181</v>
      </c>
      <c r="I296" s="94" t="s">
        <v>203</v>
      </c>
      <c r="J296" s="62" t="s">
        <v>117</v>
      </c>
      <c r="K296" s="72">
        <v>45756.0</v>
      </c>
      <c r="L296" s="103"/>
      <c r="M296" s="67" t="s">
        <v>299</v>
      </c>
      <c r="N296" s="67">
        <v>3.0</v>
      </c>
      <c r="O296" s="68"/>
      <c r="P296" s="68"/>
      <c r="Q296" s="68"/>
    </row>
    <row r="297" hidden="1">
      <c r="A297" s="106">
        <v>443.0</v>
      </c>
      <c r="B297" s="82" t="s">
        <v>11</v>
      </c>
      <c r="C297" s="83"/>
      <c r="D297" s="84"/>
      <c r="E297" s="83"/>
      <c r="F297" s="66" t="s">
        <v>124</v>
      </c>
      <c r="G297" s="85" t="s">
        <v>129</v>
      </c>
      <c r="H297" s="86" t="s">
        <v>130</v>
      </c>
      <c r="I297" s="87" t="s">
        <v>131</v>
      </c>
      <c r="J297" s="62" t="s">
        <v>117</v>
      </c>
      <c r="K297" s="63">
        <v>45789.0</v>
      </c>
      <c r="L297" s="75"/>
      <c r="M297" s="68"/>
      <c r="N297" s="65">
        <v>25.0</v>
      </c>
      <c r="O297" s="67" t="s">
        <v>165</v>
      </c>
      <c r="P297" s="68"/>
      <c r="Q297" s="68"/>
    </row>
    <row r="298" hidden="1">
      <c r="A298" s="104">
        <v>443.0</v>
      </c>
      <c r="B298" s="89" t="s">
        <v>11</v>
      </c>
      <c r="C298" s="90"/>
      <c r="D298" s="91"/>
      <c r="E298" s="90"/>
      <c r="F298" s="66" t="s">
        <v>124</v>
      </c>
      <c r="G298" s="92" t="s">
        <v>133</v>
      </c>
      <c r="H298" s="93" t="s">
        <v>134</v>
      </c>
      <c r="I298" s="94" t="s">
        <v>135</v>
      </c>
      <c r="J298" s="62" t="s">
        <v>117</v>
      </c>
      <c r="K298" s="72">
        <v>45790.0</v>
      </c>
      <c r="L298" s="103"/>
      <c r="M298" s="67"/>
      <c r="N298" s="67">
        <v>75.0</v>
      </c>
      <c r="O298" s="67" t="s">
        <v>136</v>
      </c>
      <c r="P298" s="68"/>
      <c r="Q298" s="68"/>
    </row>
    <row r="299" hidden="1">
      <c r="A299" s="97">
        <v>443.0</v>
      </c>
      <c r="B299" s="96" t="s">
        <v>11</v>
      </c>
      <c r="C299" s="97"/>
      <c r="D299" s="96"/>
      <c r="E299" s="98"/>
      <c r="F299" s="58" t="s">
        <v>137</v>
      </c>
      <c r="G299" s="58" t="s">
        <v>129</v>
      </c>
      <c r="H299" s="86" t="s">
        <v>138</v>
      </c>
      <c r="I299" s="61" t="s">
        <v>139</v>
      </c>
      <c r="J299" s="62" t="s">
        <v>117</v>
      </c>
      <c r="K299" s="63">
        <v>45796.0</v>
      </c>
      <c r="L299" s="99"/>
      <c r="M299" s="64" t="s">
        <v>140</v>
      </c>
      <c r="N299" s="65">
        <v>6.0</v>
      </c>
      <c r="O299" s="67" t="s">
        <v>141</v>
      </c>
      <c r="P299" s="68"/>
      <c r="Q299" s="68"/>
    </row>
    <row r="300" hidden="1">
      <c r="A300" s="106">
        <v>443.0</v>
      </c>
      <c r="B300" s="82" t="s">
        <v>11</v>
      </c>
      <c r="C300" s="106"/>
      <c r="D300" s="82"/>
      <c r="E300" s="83"/>
      <c r="F300" s="58" t="s">
        <v>137</v>
      </c>
      <c r="G300" s="85" t="s">
        <v>129</v>
      </c>
      <c r="H300" s="93" t="s">
        <v>160</v>
      </c>
      <c r="I300" s="160" t="s">
        <v>300</v>
      </c>
      <c r="J300" s="62" t="s">
        <v>117</v>
      </c>
      <c r="K300" s="63">
        <v>45824.0</v>
      </c>
      <c r="L300" s="62" t="s">
        <v>118</v>
      </c>
      <c r="M300" s="161" t="s">
        <v>301</v>
      </c>
      <c r="N300" s="65">
        <v>21.0</v>
      </c>
      <c r="O300" s="67" t="s">
        <v>302</v>
      </c>
      <c r="P300" s="68"/>
      <c r="Q300" s="68"/>
    </row>
    <row r="301" hidden="1">
      <c r="A301" s="106">
        <v>443.0</v>
      </c>
      <c r="B301" s="82" t="s">
        <v>11</v>
      </c>
      <c r="C301" s="97"/>
      <c r="D301" s="96"/>
      <c r="E301" s="98"/>
      <c r="F301" s="66" t="s">
        <v>124</v>
      </c>
      <c r="G301" s="58" t="s">
        <v>129</v>
      </c>
      <c r="H301" s="86" t="s">
        <v>130</v>
      </c>
      <c r="I301" s="61" t="s">
        <v>142</v>
      </c>
      <c r="J301" s="62" t="s">
        <v>117</v>
      </c>
      <c r="K301" s="63">
        <v>45818.0</v>
      </c>
      <c r="L301" s="99"/>
      <c r="M301" s="64" t="s">
        <v>143</v>
      </c>
      <c r="N301" s="65">
        <v>15.0</v>
      </c>
      <c r="O301" s="67"/>
      <c r="P301" s="68"/>
      <c r="Q301" s="68"/>
    </row>
    <row r="302" hidden="1">
      <c r="A302" s="106">
        <v>443.0</v>
      </c>
      <c r="B302" s="82" t="s">
        <v>11</v>
      </c>
      <c r="C302" s="97"/>
      <c r="D302" s="96"/>
      <c r="E302" s="98"/>
      <c r="F302" s="66" t="s">
        <v>124</v>
      </c>
      <c r="G302" s="66" t="s">
        <v>125</v>
      </c>
      <c r="H302" s="86" t="s">
        <v>130</v>
      </c>
      <c r="I302" s="61" t="s">
        <v>144</v>
      </c>
      <c r="J302" s="62" t="s">
        <v>117</v>
      </c>
      <c r="K302" s="63">
        <v>45818.0</v>
      </c>
      <c r="L302" s="99"/>
      <c r="M302" s="64" t="s">
        <v>145</v>
      </c>
      <c r="N302" s="65">
        <v>5.0</v>
      </c>
      <c r="O302" s="67"/>
      <c r="P302" s="68"/>
      <c r="Q302" s="68"/>
    </row>
    <row r="303" hidden="1">
      <c r="A303" s="106">
        <v>443.0</v>
      </c>
      <c r="B303" s="82" t="s">
        <v>11</v>
      </c>
      <c r="C303" s="97"/>
      <c r="D303" s="96"/>
      <c r="E303" s="98"/>
      <c r="F303" s="66" t="s">
        <v>124</v>
      </c>
      <c r="G303" s="66" t="s">
        <v>125</v>
      </c>
      <c r="H303" s="86" t="s">
        <v>146</v>
      </c>
      <c r="I303" s="61" t="s">
        <v>147</v>
      </c>
      <c r="J303" s="62" t="s">
        <v>117</v>
      </c>
      <c r="K303" s="63">
        <v>45818.0</v>
      </c>
      <c r="L303" s="62" t="s">
        <v>118</v>
      </c>
      <c r="M303" s="64" t="s">
        <v>148</v>
      </c>
      <c r="N303" s="65">
        <v>8.0</v>
      </c>
      <c r="O303" s="67" t="s">
        <v>149</v>
      </c>
      <c r="P303" s="68"/>
      <c r="Q303" s="68"/>
    </row>
    <row r="304">
      <c r="A304" s="100">
        <v>443.0</v>
      </c>
      <c r="B304" s="78" t="s">
        <v>11</v>
      </c>
      <c r="C304" s="101">
        <v>45702.0</v>
      </c>
      <c r="D304" s="56" t="s">
        <v>303</v>
      </c>
      <c r="E304" s="90" t="s">
        <v>242</v>
      </c>
      <c r="F304" s="58" t="s">
        <v>116</v>
      </c>
      <c r="G304" s="59"/>
      <c r="H304" s="60"/>
      <c r="I304" s="61"/>
      <c r="J304" s="62"/>
      <c r="K304" s="63"/>
      <c r="L304" s="62"/>
      <c r="M304" s="64"/>
      <c r="N304" s="102"/>
      <c r="O304" s="67"/>
      <c r="P304" s="68"/>
      <c r="Q304" s="68"/>
    </row>
    <row r="305" hidden="1">
      <c r="A305" s="100">
        <v>444.0</v>
      </c>
      <c r="B305" s="78" t="s">
        <v>11</v>
      </c>
      <c r="C305" s="57"/>
      <c r="D305" s="56" t="s">
        <v>122</v>
      </c>
      <c r="E305" s="79" t="s">
        <v>123</v>
      </c>
      <c r="F305" s="66" t="s">
        <v>124</v>
      </c>
      <c r="G305" s="66" t="s">
        <v>125</v>
      </c>
      <c r="H305" s="66" t="s">
        <v>126</v>
      </c>
      <c r="I305" s="67" t="s">
        <v>127</v>
      </c>
      <c r="J305" s="62" t="s">
        <v>117</v>
      </c>
      <c r="K305" s="72">
        <v>45736.0</v>
      </c>
      <c r="L305" s="103"/>
      <c r="M305" s="67" t="s">
        <v>283</v>
      </c>
      <c r="N305" s="67">
        <v>11.0</v>
      </c>
      <c r="O305" s="68"/>
      <c r="P305" s="68"/>
      <c r="Q305" s="68"/>
    </row>
    <row r="306" hidden="1">
      <c r="A306" s="106">
        <v>444.0</v>
      </c>
      <c r="B306" s="82" t="s">
        <v>11</v>
      </c>
      <c r="C306" s="83"/>
      <c r="D306" s="84"/>
      <c r="E306" s="83"/>
      <c r="F306" s="66" t="s">
        <v>124</v>
      </c>
      <c r="G306" s="85" t="s">
        <v>129</v>
      </c>
      <c r="H306" s="86" t="s">
        <v>130</v>
      </c>
      <c r="I306" s="87" t="s">
        <v>131</v>
      </c>
      <c r="J306" s="62" t="s">
        <v>117</v>
      </c>
      <c r="K306" s="63">
        <v>45789.0</v>
      </c>
      <c r="L306" s="75"/>
      <c r="M306" s="68"/>
      <c r="N306" s="65">
        <v>25.0</v>
      </c>
      <c r="O306" s="67" t="s">
        <v>165</v>
      </c>
      <c r="P306" s="68"/>
      <c r="Q306" s="68"/>
    </row>
    <row r="307" hidden="1">
      <c r="A307" s="104">
        <v>444.0</v>
      </c>
      <c r="B307" s="89" t="s">
        <v>11</v>
      </c>
      <c r="C307" s="90"/>
      <c r="D307" s="91"/>
      <c r="E307" s="90"/>
      <c r="F307" s="66" t="s">
        <v>124</v>
      </c>
      <c r="G307" s="92" t="s">
        <v>133</v>
      </c>
      <c r="H307" s="93" t="s">
        <v>134</v>
      </c>
      <c r="I307" s="94" t="s">
        <v>135</v>
      </c>
      <c r="J307" s="62" t="s">
        <v>117</v>
      </c>
      <c r="K307" s="72">
        <v>45790.0</v>
      </c>
      <c r="L307" s="66" t="s">
        <v>118</v>
      </c>
      <c r="M307" s="67"/>
      <c r="N307" s="67">
        <v>75.0</v>
      </c>
      <c r="O307" s="67" t="s">
        <v>136</v>
      </c>
      <c r="P307" s="68"/>
      <c r="Q307" s="68"/>
    </row>
    <row r="308" hidden="1">
      <c r="A308" s="97">
        <v>444.0</v>
      </c>
      <c r="B308" s="96" t="s">
        <v>11</v>
      </c>
      <c r="C308" s="97"/>
      <c r="D308" s="96"/>
      <c r="E308" s="98"/>
      <c r="F308" s="58" t="s">
        <v>137</v>
      </c>
      <c r="G308" s="58" t="s">
        <v>129</v>
      </c>
      <c r="H308" s="86" t="s">
        <v>138</v>
      </c>
      <c r="I308" s="61" t="s">
        <v>139</v>
      </c>
      <c r="J308" s="62" t="s">
        <v>162</v>
      </c>
      <c r="K308" s="63"/>
      <c r="L308" s="99"/>
      <c r="M308" s="64"/>
      <c r="N308" s="102"/>
      <c r="O308" s="67"/>
      <c r="P308" s="68"/>
      <c r="Q308" s="68"/>
    </row>
    <row r="309" hidden="1">
      <c r="A309" s="106">
        <v>444.0</v>
      </c>
      <c r="B309" s="82" t="s">
        <v>11</v>
      </c>
      <c r="C309" s="97"/>
      <c r="D309" s="96"/>
      <c r="E309" s="98"/>
      <c r="F309" s="66" t="s">
        <v>124</v>
      </c>
      <c r="G309" s="58" t="s">
        <v>129</v>
      </c>
      <c r="H309" s="86" t="s">
        <v>130</v>
      </c>
      <c r="I309" s="61" t="s">
        <v>142</v>
      </c>
      <c r="J309" s="62" t="s">
        <v>117</v>
      </c>
      <c r="K309" s="63">
        <v>45818.0</v>
      </c>
      <c r="L309" s="99"/>
      <c r="M309" s="64" t="s">
        <v>143</v>
      </c>
      <c r="N309" s="65">
        <v>15.0</v>
      </c>
      <c r="O309" s="67"/>
      <c r="P309" s="68"/>
      <c r="Q309" s="68"/>
    </row>
    <row r="310" hidden="1">
      <c r="A310" s="106">
        <v>444.0</v>
      </c>
      <c r="B310" s="82" t="s">
        <v>11</v>
      </c>
      <c r="C310" s="97"/>
      <c r="D310" s="96"/>
      <c r="E310" s="98"/>
      <c r="F310" s="66" t="s">
        <v>124</v>
      </c>
      <c r="G310" s="66" t="s">
        <v>125</v>
      </c>
      <c r="H310" s="86" t="s">
        <v>130</v>
      </c>
      <c r="I310" s="61" t="s">
        <v>144</v>
      </c>
      <c r="J310" s="62" t="s">
        <v>117</v>
      </c>
      <c r="K310" s="63">
        <v>45818.0</v>
      </c>
      <c r="L310" s="99"/>
      <c r="M310" s="64" t="s">
        <v>145</v>
      </c>
      <c r="N310" s="65">
        <v>5.0</v>
      </c>
      <c r="O310" s="67"/>
      <c r="P310" s="68"/>
      <c r="Q310" s="68"/>
    </row>
    <row r="311" hidden="1">
      <c r="A311" s="106">
        <v>444.0</v>
      </c>
      <c r="B311" s="82" t="s">
        <v>11</v>
      </c>
      <c r="C311" s="97"/>
      <c r="D311" s="96"/>
      <c r="E311" s="98"/>
      <c r="F311" s="66" t="s">
        <v>124</v>
      </c>
      <c r="G311" s="66" t="s">
        <v>125</v>
      </c>
      <c r="H311" s="86" t="s">
        <v>146</v>
      </c>
      <c r="I311" s="61" t="s">
        <v>147</v>
      </c>
      <c r="J311" s="62" t="s">
        <v>117</v>
      </c>
      <c r="K311" s="63">
        <v>45818.0</v>
      </c>
      <c r="L311" s="62" t="s">
        <v>118</v>
      </c>
      <c r="M311" s="64" t="s">
        <v>148</v>
      </c>
      <c r="N311" s="65">
        <v>8.0</v>
      </c>
      <c r="O311" s="67" t="s">
        <v>149</v>
      </c>
      <c r="P311" s="68"/>
      <c r="Q311" s="68"/>
    </row>
    <row r="312">
      <c r="A312" s="100">
        <v>444.0</v>
      </c>
      <c r="B312" s="78" t="s">
        <v>11</v>
      </c>
      <c r="C312" s="101">
        <v>45702.0</v>
      </c>
      <c r="D312" s="56" t="s">
        <v>304</v>
      </c>
      <c r="E312" s="90" t="s">
        <v>242</v>
      </c>
      <c r="F312" s="58" t="s">
        <v>116</v>
      </c>
      <c r="G312" s="59"/>
      <c r="H312" s="60"/>
      <c r="I312" s="61"/>
      <c r="J312" s="62"/>
      <c r="K312" s="63"/>
      <c r="L312" s="62"/>
      <c r="M312" s="64"/>
      <c r="N312" s="102"/>
      <c r="O312" s="67"/>
      <c r="P312" s="68"/>
      <c r="Q312" s="68"/>
    </row>
    <row r="313" hidden="1">
      <c r="A313" s="100">
        <v>445.0</v>
      </c>
      <c r="B313" s="78" t="s">
        <v>11</v>
      </c>
      <c r="C313" s="57"/>
      <c r="D313" s="56" t="s">
        <v>122</v>
      </c>
      <c r="E313" s="79" t="s">
        <v>123</v>
      </c>
      <c r="F313" s="66" t="s">
        <v>124</v>
      </c>
      <c r="G313" s="66" t="s">
        <v>125</v>
      </c>
      <c r="H313" s="66" t="s">
        <v>126</v>
      </c>
      <c r="I313" s="67" t="s">
        <v>127</v>
      </c>
      <c r="J313" s="62" t="s">
        <v>117</v>
      </c>
      <c r="K313" s="72">
        <v>45736.0</v>
      </c>
      <c r="L313" s="103"/>
      <c r="M313" s="67" t="s">
        <v>305</v>
      </c>
      <c r="N313" s="67">
        <v>9.0</v>
      </c>
      <c r="O313" s="68"/>
      <c r="P313" s="68"/>
      <c r="Q313" s="68"/>
    </row>
    <row r="314" hidden="1">
      <c r="A314" s="106">
        <v>445.0</v>
      </c>
      <c r="B314" s="82" t="s">
        <v>11</v>
      </c>
      <c r="C314" s="83"/>
      <c r="D314" s="84"/>
      <c r="E314" s="83"/>
      <c r="F314" s="66" t="s">
        <v>124</v>
      </c>
      <c r="G314" s="85" t="s">
        <v>129</v>
      </c>
      <c r="H314" s="86" t="s">
        <v>130</v>
      </c>
      <c r="I314" s="87" t="s">
        <v>131</v>
      </c>
      <c r="J314" s="62" t="s">
        <v>117</v>
      </c>
      <c r="K314" s="63">
        <v>45789.0</v>
      </c>
      <c r="L314" s="75"/>
      <c r="M314" s="68"/>
      <c r="N314" s="65">
        <v>25.0</v>
      </c>
      <c r="O314" s="67" t="s">
        <v>165</v>
      </c>
      <c r="P314" s="68"/>
      <c r="Q314" s="68"/>
    </row>
    <row r="315" hidden="1">
      <c r="A315" s="104">
        <v>445.0</v>
      </c>
      <c r="B315" s="89" t="s">
        <v>11</v>
      </c>
      <c r="C315" s="90"/>
      <c r="D315" s="91"/>
      <c r="E315" s="90"/>
      <c r="F315" s="66" t="s">
        <v>124</v>
      </c>
      <c r="G315" s="92" t="s">
        <v>133</v>
      </c>
      <c r="H315" s="93" t="s">
        <v>134</v>
      </c>
      <c r="I315" s="94" t="s">
        <v>135</v>
      </c>
      <c r="J315" s="62" t="s">
        <v>117</v>
      </c>
      <c r="K315" s="72">
        <v>45790.0</v>
      </c>
      <c r="L315" s="103"/>
      <c r="M315" s="67"/>
      <c r="N315" s="67">
        <v>75.0</v>
      </c>
      <c r="O315" s="67" t="s">
        <v>136</v>
      </c>
      <c r="P315" s="68"/>
      <c r="Q315" s="68"/>
    </row>
    <row r="316" hidden="1">
      <c r="A316" s="97">
        <v>445.0</v>
      </c>
      <c r="B316" s="96" t="s">
        <v>11</v>
      </c>
      <c r="C316" s="97"/>
      <c r="D316" s="96"/>
      <c r="E316" s="98"/>
      <c r="F316" s="58" t="s">
        <v>137</v>
      </c>
      <c r="G316" s="58" t="s">
        <v>129</v>
      </c>
      <c r="H316" s="86" t="s">
        <v>138</v>
      </c>
      <c r="I316" s="61" t="s">
        <v>139</v>
      </c>
      <c r="J316" s="62" t="s">
        <v>117</v>
      </c>
      <c r="K316" s="63">
        <v>45796.0</v>
      </c>
      <c r="L316" s="99"/>
      <c r="M316" s="64" t="s">
        <v>265</v>
      </c>
      <c r="N316" s="65">
        <v>6.0</v>
      </c>
      <c r="O316" s="67" t="s">
        <v>141</v>
      </c>
      <c r="P316" s="68"/>
      <c r="Q316" s="68"/>
    </row>
    <row r="317" hidden="1">
      <c r="A317" s="106">
        <v>445.0</v>
      </c>
      <c r="B317" s="82" t="s">
        <v>11</v>
      </c>
      <c r="C317" s="106"/>
      <c r="D317" s="82"/>
      <c r="E317" s="83"/>
      <c r="F317" s="58" t="s">
        <v>137</v>
      </c>
      <c r="G317" s="85" t="s">
        <v>129</v>
      </c>
      <c r="H317" s="86" t="s">
        <v>134</v>
      </c>
      <c r="I317" s="40" t="s">
        <v>76</v>
      </c>
      <c r="J317" s="62" t="s">
        <v>117</v>
      </c>
      <c r="K317" s="63">
        <v>45806.0</v>
      </c>
      <c r="L317" s="99"/>
      <c r="M317" s="64" t="s">
        <v>291</v>
      </c>
      <c r="N317" s="65">
        <v>5.0</v>
      </c>
      <c r="O317" s="67"/>
      <c r="P317" s="68"/>
      <c r="Q317" s="68"/>
    </row>
    <row r="318" hidden="1">
      <c r="A318" s="106">
        <v>445.0</v>
      </c>
      <c r="B318" s="82" t="s">
        <v>11</v>
      </c>
      <c r="C318" s="106"/>
      <c r="D318" s="82"/>
      <c r="E318" s="83"/>
      <c r="F318" s="58" t="s">
        <v>137</v>
      </c>
      <c r="G318" s="85" t="s">
        <v>129</v>
      </c>
      <c r="H318" s="93" t="s">
        <v>160</v>
      </c>
      <c r="I318" s="160" t="s">
        <v>300</v>
      </c>
      <c r="J318" s="62" t="s">
        <v>117</v>
      </c>
      <c r="K318" s="63">
        <v>45824.0</v>
      </c>
      <c r="L318" s="62" t="s">
        <v>118</v>
      </c>
      <c r="M318" s="64" t="s">
        <v>306</v>
      </c>
      <c r="N318" s="65">
        <v>51.0</v>
      </c>
      <c r="O318" s="67" t="s">
        <v>302</v>
      </c>
      <c r="P318" s="68"/>
      <c r="Q318" s="68"/>
    </row>
    <row r="319" hidden="1">
      <c r="A319" s="106">
        <v>445.0</v>
      </c>
      <c r="B319" s="82" t="s">
        <v>11</v>
      </c>
      <c r="C319" s="97"/>
      <c r="D319" s="96"/>
      <c r="E319" s="98"/>
      <c r="F319" s="66" t="s">
        <v>124</v>
      </c>
      <c r="G319" s="58" t="s">
        <v>129</v>
      </c>
      <c r="H319" s="86" t="s">
        <v>130</v>
      </c>
      <c r="I319" s="61" t="s">
        <v>142</v>
      </c>
      <c r="J319" s="62" t="s">
        <v>117</v>
      </c>
      <c r="K319" s="63">
        <v>45818.0</v>
      </c>
      <c r="L319" s="99"/>
      <c r="M319" s="64" t="s">
        <v>143</v>
      </c>
      <c r="N319" s="65">
        <v>15.0</v>
      </c>
      <c r="O319" s="67"/>
      <c r="P319" s="68"/>
      <c r="Q319" s="68"/>
    </row>
    <row r="320" hidden="1">
      <c r="A320" s="106">
        <v>445.0</v>
      </c>
      <c r="B320" s="82" t="s">
        <v>11</v>
      </c>
      <c r="C320" s="97"/>
      <c r="D320" s="96"/>
      <c r="E320" s="98"/>
      <c r="F320" s="66" t="s">
        <v>124</v>
      </c>
      <c r="G320" s="66" t="s">
        <v>125</v>
      </c>
      <c r="H320" s="86" t="s">
        <v>130</v>
      </c>
      <c r="I320" s="61" t="s">
        <v>144</v>
      </c>
      <c r="J320" s="62" t="s">
        <v>117</v>
      </c>
      <c r="K320" s="63">
        <v>45818.0</v>
      </c>
      <c r="L320" s="99"/>
      <c r="M320" s="64" t="s">
        <v>145</v>
      </c>
      <c r="N320" s="65">
        <v>5.0</v>
      </c>
      <c r="O320" s="67"/>
      <c r="P320" s="68"/>
      <c r="Q320" s="68"/>
    </row>
    <row r="321" hidden="1">
      <c r="A321" s="106">
        <v>445.0</v>
      </c>
      <c r="B321" s="82" t="s">
        <v>11</v>
      </c>
      <c r="C321" s="97"/>
      <c r="D321" s="96"/>
      <c r="E321" s="98"/>
      <c r="F321" s="66" t="s">
        <v>124</v>
      </c>
      <c r="G321" s="66" t="s">
        <v>125</v>
      </c>
      <c r="H321" s="86" t="s">
        <v>146</v>
      </c>
      <c r="I321" s="61" t="s">
        <v>147</v>
      </c>
      <c r="J321" s="62" t="s">
        <v>117</v>
      </c>
      <c r="K321" s="63">
        <v>45818.0</v>
      </c>
      <c r="L321" s="62" t="s">
        <v>118</v>
      </c>
      <c r="M321" s="64" t="s">
        <v>148</v>
      </c>
      <c r="N321" s="65">
        <v>8.0</v>
      </c>
      <c r="O321" s="67" t="s">
        <v>149</v>
      </c>
      <c r="P321" s="68"/>
      <c r="Q321" s="68"/>
    </row>
    <row r="322">
      <c r="A322" s="100">
        <v>445.0</v>
      </c>
      <c r="B322" s="78" t="s">
        <v>11</v>
      </c>
      <c r="C322" s="101">
        <v>45702.0</v>
      </c>
      <c r="D322" s="56" t="s">
        <v>307</v>
      </c>
      <c r="E322" s="90" t="s">
        <v>242</v>
      </c>
      <c r="F322" s="58" t="s">
        <v>116</v>
      </c>
      <c r="G322" s="59"/>
      <c r="H322" s="60"/>
      <c r="I322" s="61"/>
      <c r="J322" s="62"/>
      <c r="K322" s="63"/>
      <c r="L322" s="62"/>
      <c r="M322" s="64"/>
      <c r="N322" s="102"/>
      <c r="O322" s="67"/>
      <c r="P322" s="68"/>
      <c r="Q322" s="68"/>
    </row>
    <row r="323" hidden="1">
      <c r="A323" s="100">
        <v>446.0</v>
      </c>
      <c r="B323" s="78" t="s">
        <v>11</v>
      </c>
      <c r="C323" s="57"/>
      <c r="D323" s="56" t="s">
        <v>122</v>
      </c>
      <c r="E323" s="79" t="s">
        <v>123</v>
      </c>
      <c r="F323" s="66" t="s">
        <v>124</v>
      </c>
      <c r="G323" s="66" t="s">
        <v>125</v>
      </c>
      <c r="H323" s="66" t="s">
        <v>126</v>
      </c>
      <c r="I323" s="67" t="s">
        <v>127</v>
      </c>
      <c r="J323" s="62" t="s">
        <v>117</v>
      </c>
      <c r="K323" s="72">
        <v>45736.0</v>
      </c>
      <c r="L323" s="103"/>
      <c r="M323" s="67" t="s">
        <v>283</v>
      </c>
      <c r="N323" s="67">
        <v>11.0</v>
      </c>
      <c r="O323" s="68"/>
      <c r="P323" s="68"/>
      <c r="Q323" s="68"/>
    </row>
    <row r="324" hidden="1">
      <c r="A324" s="106">
        <v>446.0</v>
      </c>
      <c r="B324" s="82" t="s">
        <v>11</v>
      </c>
      <c r="C324" s="83"/>
      <c r="D324" s="84"/>
      <c r="E324" s="83"/>
      <c r="F324" s="66" t="s">
        <v>124</v>
      </c>
      <c r="G324" s="85" t="s">
        <v>129</v>
      </c>
      <c r="H324" s="86" t="s">
        <v>130</v>
      </c>
      <c r="I324" s="87" t="s">
        <v>131</v>
      </c>
      <c r="J324" s="62" t="s">
        <v>117</v>
      </c>
      <c r="K324" s="63">
        <v>45789.0</v>
      </c>
      <c r="L324" s="75"/>
      <c r="M324" s="68"/>
      <c r="N324" s="65">
        <v>25.0</v>
      </c>
      <c r="O324" s="67" t="s">
        <v>165</v>
      </c>
      <c r="P324" s="68"/>
      <c r="Q324" s="68"/>
    </row>
    <row r="325" hidden="1">
      <c r="A325" s="104">
        <v>446.0</v>
      </c>
      <c r="B325" s="89" t="s">
        <v>11</v>
      </c>
      <c r="C325" s="90"/>
      <c r="D325" s="91"/>
      <c r="E325" s="90"/>
      <c r="F325" s="66" t="s">
        <v>124</v>
      </c>
      <c r="G325" s="92" t="s">
        <v>133</v>
      </c>
      <c r="H325" s="93" t="s">
        <v>134</v>
      </c>
      <c r="I325" s="94" t="s">
        <v>135</v>
      </c>
      <c r="J325" s="62" t="s">
        <v>117</v>
      </c>
      <c r="K325" s="72">
        <v>45790.0</v>
      </c>
      <c r="L325" s="66" t="s">
        <v>118</v>
      </c>
      <c r="M325" s="67"/>
      <c r="N325" s="67">
        <v>75.0</v>
      </c>
      <c r="O325" s="67" t="s">
        <v>136</v>
      </c>
      <c r="P325" s="68"/>
      <c r="Q325" s="68"/>
    </row>
    <row r="326" hidden="1">
      <c r="A326" s="104">
        <v>446.0</v>
      </c>
      <c r="B326" s="89" t="s">
        <v>11</v>
      </c>
      <c r="C326" s="90"/>
      <c r="D326" s="91"/>
      <c r="E326" s="90"/>
      <c r="F326" s="58" t="s">
        <v>137</v>
      </c>
      <c r="G326" s="92" t="s">
        <v>129</v>
      </c>
      <c r="H326" s="93" t="s">
        <v>160</v>
      </c>
      <c r="I326" s="160" t="s">
        <v>308</v>
      </c>
      <c r="J326" s="62" t="s">
        <v>162</v>
      </c>
      <c r="K326" s="72"/>
      <c r="L326" s="103"/>
      <c r="M326" s="67"/>
      <c r="N326" s="105"/>
      <c r="O326" s="67"/>
      <c r="P326" s="68"/>
      <c r="Q326" s="68"/>
    </row>
    <row r="327" hidden="1">
      <c r="A327" s="97">
        <v>446.0</v>
      </c>
      <c r="B327" s="96" t="s">
        <v>11</v>
      </c>
      <c r="C327" s="97"/>
      <c r="D327" s="96"/>
      <c r="E327" s="98"/>
      <c r="F327" s="58" t="s">
        <v>137</v>
      </c>
      <c r="G327" s="58" t="s">
        <v>129</v>
      </c>
      <c r="H327" s="86" t="s">
        <v>138</v>
      </c>
      <c r="I327" s="61" t="s">
        <v>139</v>
      </c>
      <c r="J327" s="62" t="s">
        <v>162</v>
      </c>
      <c r="K327" s="63"/>
      <c r="L327" s="99"/>
      <c r="M327" s="64"/>
      <c r="N327" s="102"/>
      <c r="O327" s="67"/>
      <c r="P327" s="68"/>
      <c r="Q327" s="68"/>
    </row>
    <row r="328" hidden="1">
      <c r="A328" s="97">
        <v>446.0</v>
      </c>
      <c r="B328" s="96" t="s">
        <v>11</v>
      </c>
      <c r="C328" s="97"/>
      <c r="D328" s="96"/>
      <c r="E328" s="98"/>
      <c r="F328" s="58" t="s">
        <v>137</v>
      </c>
      <c r="G328" s="58" t="s">
        <v>129</v>
      </c>
      <c r="H328" s="116" t="s">
        <v>181</v>
      </c>
      <c r="I328" s="112" t="s">
        <v>88</v>
      </c>
      <c r="J328" s="62" t="s">
        <v>162</v>
      </c>
      <c r="K328" s="63"/>
      <c r="L328" s="99"/>
      <c r="M328" s="64"/>
      <c r="N328" s="102"/>
      <c r="O328" s="67"/>
      <c r="P328" s="68"/>
      <c r="Q328" s="68"/>
    </row>
    <row r="329" hidden="1">
      <c r="A329" s="106">
        <v>446.0</v>
      </c>
      <c r="B329" s="82" t="s">
        <v>11</v>
      </c>
      <c r="C329" s="97"/>
      <c r="D329" s="96"/>
      <c r="E329" s="98"/>
      <c r="F329" s="66" t="s">
        <v>124</v>
      </c>
      <c r="G329" s="58" t="s">
        <v>129</v>
      </c>
      <c r="H329" s="86" t="s">
        <v>130</v>
      </c>
      <c r="I329" s="61" t="s">
        <v>142</v>
      </c>
      <c r="J329" s="62" t="s">
        <v>117</v>
      </c>
      <c r="K329" s="63">
        <v>45818.0</v>
      </c>
      <c r="L329" s="99"/>
      <c r="M329" s="64" t="s">
        <v>143</v>
      </c>
      <c r="N329" s="65">
        <v>15.0</v>
      </c>
      <c r="O329" s="67"/>
      <c r="P329" s="68"/>
      <c r="Q329" s="68"/>
    </row>
    <row r="330" hidden="1">
      <c r="A330" s="106">
        <v>446.0</v>
      </c>
      <c r="B330" s="82" t="s">
        <v>11</v>
      </c>
      <c r="C330" s="97"/>
      <c r="D330" s="96"/>
      <c r="E330" s="98"/>
      <c r="F330" s="66" t="s">
        <v>124</v>
      </c>
      <c r="G330" s="66" t="s">
        <v>125</v>
      </c>
      <c r="H330" s="86" t="s">
        <v>130</v>
      </c>
      <c r="I330" s="61" t="s">
        <v>144</v>
      </c>
      <c r="J330" s="62" t="s">
        <v>117</v>
      </c>
      <c r="K330" s="63">
        <v>45818.0</v>
      </c>
      <c r="L330" s="99"/>
      <c r="M330" s="64" t="s">
        <v>145</v>
      </c>
      <c r="N330" s="65">
        <v>5.0</v>
      </c>
      <c r="O330" s="67"/>
      <c r="P330" s="68"/>
      <c r="Q330" s="68"/>
    </row>
    <row r="331" hidden="1">
      <c r="A331" s="106">
        <v>446.0</v>
      </c>
      <c r="B331" s="82" t="s">
        <v>11</v>
      </c>
      <c r="C331" s="97"/>
      <c r="D331" s="96"/>
      <c r="E331" s="98"/>
      <c r="F331" s="66" t="s">
        <v>124</v>
      </c>
      <c r="G331" s="66" t="s">
        <v>125</v>
      </c>
      <c r="H331" s="86" t="s">
        <v>146</v>
      </c>
      <c r="I331" s="61" t="s">
        <v>147</v>
      </c>
      <c r="J331" s="62" t="s">
        <v>117</v>
      </c>
      <c r="K331" s="63">
        <v>45818.0</v>
      </c>
      <c r="L331" s="62" t="s">
        <v>118</v>
      </c>
      <c r="M331" s="64" t="s">
        <v>148</v>
      </c>
      <c r="N331" s="65">
        <v>8.0</v>
      </c>
      <c r="O331" s="67" t="s">
        <v>149</v>
      </c>
      <c r="P331" s="68"/>
      <c r="Q331" s="68"/>
    </row>
    <row r="332">
      <c r="A332" s="100">
        <v>446.0</v>
      </c>
      <c r="B332" s="78" t="s">
        <v>11</v>
      </c>
      <c r="C332" s="101">
        <v>45702.0</v>
      </c>
      <c r="D332" s="56" t="s">
        <v>309</v>
      </c>
      <c r="E332" s="90" t="s">
        <v>242</v>
      </c>
      <c r="F332" s="58" t="s">
        <v>116</v>
      </c>
      <c r="G332" s="59"/>
      <c r="H332" s="60"/>
      <c r="I332" s="61"/>
      <c r="J332" s="62"/>
      <c r="K332" s="63"/>
      <c r="L332" s="62"/>
      <c r="M332" s="64"/>
      <c r="N332" s="102"/>
      <c r="O332" s="67"/>
      <c r="P332" s="68"/>
      <c r="Q332" s="68"/>
    </row>
    <row r="333" hidden="1">
      <c r="A333" s="100">
        <v>447.0</v>
      </c>
      <c r="B333" s="78" t="s">
        <v>11</v>
      </c>
      <c r="C333" s="57"/>
      <c r="D333" s="56" t="s">
        <v>122</v>
      </c>
      <c r="E333" s="79" t="s">
        <v>123</v>
      </c>
      <c r="F333" s="66" t="s">
        <v>124</v>
      </c>
      <c r="G333" s="66" t="s">
        <v>125</v>
      </c>
      <c r="H333" s="66" t="s">
        <v>126</v>
      </c>
      <c r="I333" s="67" t="s">
        <v>127</v>
      </c>
      <c r="J333" s="62" t="s">
        <v>117</v>
      </c>
      <c r="K333" s="72">
        <v>45736.0</v>
      </c>
      <c r="L333" s="103"/>
      <c r="M333" s="67" t="s">
        <v>243</v>
      </c>
      <c r="N333" s="67">
        <v>18.0</v>
      </c>
      <c r="O333" s="68"/>
      <c r="P333" s="68"/>
      <c r="Q333" s="68"/>
    </row>
    <row r="334" hidden="1">
      <c r="A334" s="109">
        <v>447.0</v>
      </c>
      <c r="B334" s="89" t="s">
        <v>11</v>
      </c>
      <c r="C334" s="90"/>
      <c r="D334" s="91"/>
      <c r="E334" s="89"/>
      <c r="F334" s="58" t="s">
        <v>137</v>
      </c>
      <c r="G334" s="66" t="s">
        <v>125</v>
      </c>
      <c r="H334" s="92" t="s">
        <v>126</v>
      </c>
      <c r="I334" s="87" t="s">
        <v>310</v>
      </c>
      <c r="J334" s="62" t="s">
        <v>117</v>
      </c>
      <c r="K334" s="72">
        <v>45756.0</v>
      </c>
      <c r="L334" s="66" t="s">
        <v>118</v>
      </c>
      <c r="M334" s="67" t="s">
        <v>311</v>
      </c>
      <c r="N334" s="67">
        <v>22.0</v>
      </c>
      <c r="O334" s="68"/>
      <c r="P334" s="68"/>
      <c r="Q334" s="68"/>
    </row>
    <row r="335" hidden="1">
      <c r="A335" s="106">
        <v>447.0</v>
      </c>
      <c r="B335" s="82" t="s">
        <v>11</v>
      </c>
      <c r="C335" s="83"/>
      <c r="D335" s="84"/>
      <c r="E335" s="83"/>
      <c r="F335" s="66" t="s">
        <v>124</v>
      </c>
      <c r="G335" s="85" t="s">
        <v>129</v>
      </c>
      <c r="H335" s="86" t="s">
        <v>130</v>
      </c>
      <c r="I335" s="87" t="s">
        <v>131</v>
      </c>
      <c r="J335" s="62" t="s">
        <v>117</v>
      </c>
      <c r="K335" s="63">
        <v>45789.0</v>
      </c>
      <c r="L335" s="75"/>
      <c r="M335" s="68"/>
      <c r="N335" s="65">
        <v>25.0</v>
      </c>
      <c r="O335" s="67" t="s">
        <v>165</v>
      </c>
      <c r="P335" s="68"/>
      <c r="Q335" s="68"/>
    </row>
    <row r="336" hidden="1">
      <c r="A336" s="104">
        <v>447.0</v>
      </c>
      <c r="B336" s="89" t="s">
        <v>11</v>
      </c>
      <c r="C336" s="90"/>
      <c r="D336" s="91"/>
      <c r="E336" s="90"/>
      <c r="F336" s="66" t="s">
        <v>124</v>
      </c>
      <c r="G336" s="92" t="s">
        <v>133</v>
      </c>
      <c r="H336" s="93" t="s">
        <v>134</v>
      </c>
      <c r="I336" s="94" t="s">
        <v>135</v>
      </c>
      <c r="J336" s="62" t="s">
        <v>117</v>
      </c>
      <c r="K336" s="72">
        <v>45790.0</v>
      </c>
      <c r="L336" s="66" t="s">
        <v>118</v>
      </c>
      <c r="M336" s="67"/>
      <c r="N336" s="67">
        <v>75.0</v>
      </c>
      <c r="O336" s="67" t="s">
        <v>136</v>
      </c>
      <c r="P336" s="68"/>
      <c r="Q336" s="68"/>
    </row>
    <row r="337" hidden="1">
      <c r="A337" s="97">
        <v>447.0</v>
      </c>
      <c r="B337" s="96" t="s">
        <v>11</v>
      </c>
      <c r="C337" s="97"/>
      <c r="D337" s="96"/>
      <c r="E337" s="98"/>
      <c r="F337" s="58" t="s">
        <v>137</v>
      </c>
      <c r="G337" s="58" t="s">
        <v>129</v>
      </c>
      <c r="H337" s="86" t="s">
        <v>138</v>
      </c>
      <c r="I337" s="61" t="s">
        <v>139</v>
      </c>
      <c r="J337" s="62" t="s">
        <v>117</v>
      </c>
      <c r="K337" s="63">
        <v>45796.0</v>
      </c>
      <c r="L337" s="62" t="s">
        <v>118</v>
      </c>
      <c r="M337" s="64" t="s">
        <v>140</v>
      </c>
      <c r="N337" s="65">
        <v>6.0</v>
      </c>
      <c r="O337" s="67" t="s">
        <v>141</v>
      </c>
      <c r="P337" s="68"/>
      <c r="Q337" s="68"/>
    </row>
    <row r="338" hidden="1">
      <c r="A338" s="106">
        <v>447.0</v>
      </c>
      <c r="B338" s="82" t="s">
        <v>11</v>
      </c>
      <c r="C338" s="106"/>
      <c r="D338" s="82"/>
      <c r="E338" s="83"/>
      <c r="F338" s="58" t="s">
        <v>137</v>
      </c>
      <c r="G338" s="85" t="s">
        <v>129</v>
      </c>
      <c r="H338" s="162" t="s">
        <v>182</v>
      </c>
      <c r="I338" s="163" t="s">
        <v>312</v>
      </c>
      <c r="J338" s="62" t="s">
        <v>117</v>
      </c>
      <c r="K338" s="63"/>
      <c r="L338" s="62" t="s">
        <v>118</v>
      </c>
      <c r="M338" s="64" t="s">
        <v>313</v>
      </c>
      <c r="N338" s="65">
        <v>11.0</v>
      </c>
      <c r="O338" s="67"/>
      <c r="P338" s="68"/>
      <c r="Q338" s="68"/>
    </row>
    <row r="339" hidden="1">
      <c r="A339" s="106">
        <v>447.0</v>
      </c>
      <c r="B339" s="82" t="s">
        <v>11</v>
      </c>
      <c r="C339" s="106"/>
      <c r="D339" s="82"/>
      <c r="E339" s="83"/>
      <c r="F339" s="58" t="s">
        <v>137</v>
      </c>
      <c r="G339" s="85" t="s">
        <v>129</v>
      </c>
      <c r="H339" s="164" t="s">
        <v>160</v>
      </c>
      <c r="I339" s="163" t="s">
        <v>314</v>
      </c>
      <c r="J339" s="62" t="s">
        <v>117</v>
      </c>
      <c r="K339" s="63">
        <v>45819.0</v>
      </c>
      <c r="L339" s="62" t="s">
        <v>118</v>
      </c>
      <c r="M339" s="64" t="s">
        <v>315</v>
      </c>
      <c r="N339" s="65">
        <v>15.0</v>
      </c>
      <c r="O339" s="67"/>
      <c r="P339" s="68"/>
      <c r="Q339" s="68"/>
    </row>
    <row r="340" hidden="1">
      <c r="A340" s="106">
        <v>447.0</v>
      </c>
      <c r="B340" s="82" t="s">
        <v>11</v>
      </c>
      <c r="C340" s="97"/>
      <c r="D340" s="96"/>
      <c r="E340" s="98"/>
      <c r="F340" s="66" t="s">
        <v>124</v>
      </c>
      <c r="G340" s="58" t="s">
        <v>129</v>
      </c>
      <c r="H340" s="86" t="s">
        <v>130</v>
      </c>
      <c r="I340" s="61" t="s">
        <v>142</v>
      </c>
      <c r="J340" s="62" t="s">
        <v>117</v>
      </c>
      <c r="K340" s="63">
        <v>45818.0</v>
      </c>
      <c r="L340" s="99"/>
      <c r="M340" s="64" t="s">
        <v>143</v>
      </c>
      <c r="N340" s="65">
        <v>15.0</v>
      </c>
      <c r="O340" s="67"/>
      <c r="P340" s="68"/>
      <c r="Q340" s="68"/>
    </row>
    <row r="341" hidden="1">
      <c r="A341" s="106">
        <v>447.0</v>
      </c>
      <c r="B341" s="82" t="s">
        <v>11</v>
      </c>
      <c r="C341" s="97"/>
      <c r="D341" s="96"/>
      <c r="E341" s="98"/>
      <c r="F341" s="66" t="s">
        <v>124</v>
      </c>
      <c r="G341" s="66" t="s">
        <v>125</v>
      </c>
      <c r="H341" s="86" t="s">
        <v>130</v>
      </c>
      <c r="I341" s="61" t="s">
        <v>144</v>
      </c>
      <c r="J341" s="62" t="s">
        <v>117</v>
      </c>
      <c r="K341" s="63">
        <v>45818.0</v>
      </c>
      <c r="L341" s="99"/>
      <c r="M341" s="64" t="s">
        <v>145</v>
      </c>
      <c r="N341" s="65">
        <v>5.0</v>
      </c>
      <c r="O341" s="67"/>
      <c r="P341" s="68"/>
      <c r="Q341" s="68"/>
    </row>
    <row r="342" hidden="1">
      <c r="A342" s="106">
        <v>447.0</v>
      </c>
      <c r="B342" s="82" t="s">
        <v>11</v>
      </c>
      <c r="C342" s="97"/>
      <c r="D342" s="96"/>
      <c r="E342" s="98"/>
      <c r="F342" s="66" t="s">
        <v>124</v>
      </c>
      <c r="G342" s="66" t="s">
        <v>125</v>
      </c>
      <c r="H342" s="86" t="s">
        <v>146</v>
      </c>
      <c r="I342" s="61" t="s">
        <v>147</v>
      </c>
      <c r="J342" s="62" t="s">
        <v>117</v>
      </c>
      <c r="K342" s="63">
        <v>45818.0</v>
      </c>
      <c r="L342" s="62" t="s">
        <v>118</v>
      </c>
      <c r="M342" s="64" t="s">
        <v>148</v>
      </c>
      <c r="N342" s="65">
        <v>8.0</v>
      </c>
      <c r="O342" s="67" t="s">
        <v>149</v>
      </c>
      <c r="P342" s="68"/>
      <c r="Q342" s="68"/>
    </row>
    <row r="343">
      <c r="A343" s="100">
        <v>447.0</v>
      </c>
      <c r="B343" s="78" t="s">
        <v>11</v>
      </c>
      <c r="C343" s="101">
        <v>45702.0</v>
      </c>
      <c r="D343" s="56" t="s">
        <v>316</v>
      </c>
      <c r="E343" s="90" t="s">
        <v>242</v>
      </c>
      <c r="F343" s="58" t="s">
        <v>116</v>
      </c>
      <c r="G343" s="59"/>
      <c r="H343" s="60"/>
      <c r="I343" s="61"/>
      <c r="J343" s="62"/>
      <c r="K343" s="63"/>
      <c r="L343" s="62"/>
      <c r="M343" s="64"/>
      <c r="N343" s="102"/>
      <c r="O343" s="67"/>
      <c r="P343" s="68"/>
      <c r="Q343" s="68"/>
    </row>
    <row r="344" hidden="1">
      <c r="A344" s="100">
        <v>448.0</v>
      </c>
      <c r="B344" s="78" t="s">
        <v>11</v>
      </c>
      <c r="C344" s="57"/>
      <c r="D344" s="56" t="s">
        <v>122</v>
      </c>
      <c r="E344" s="79" t="s">
        <v>123</v>
      </c>
      <c r="F344" s="66" t="s">
        <v>124</v>
      </c>
      <c r="G344" s="66" t="s">
        <v>125</v>
      </c>
      <c r="H344" s="66" t="s">
        <v>126</v>
      </c>
      <c r="I344" s="67" t="s">
        <v>127</v>
      </c>
      <c r="J344" s="62" t="s">
        <v>117</v>
      </c>
      <c r="K344" s="72">
        <v>45736.0</v>
      </c>
      <c r="L344" s="103"/>
      <c r="M344" s="67" t="s">
        <v>208</v>
      </c>
      <c r="N344" s="67">
        <v>13.0</v>
      </c>
      <c r="O344" s="68"/>
      <c r="P344" s="68"/>
      <c r="Q344" s="68"/>
    </row>
    <row r="345" hidden="1">
      <c r="A345" s="109">
        <v>448.0</v>
      </c>
      <c r="B345" s="89" t="s">
        <v>11</v>
      </c>
      <c r="C345" s="90"/>
      <c r="D345" s="91"/>
      <c r="E345" s="90"/>
      <c r="F345" s="58" t="s">
        <v>137</v>
      </c>
      <c r="G345" s="93" t="s">
        <v>194</v>
      </c>
      <c r="H345" s="92" t="s">
        <v>195</v>
      </c>
      <c r="I345" s="87" t="s">
        <v>317</v>
      </c>
      <c r="J345" s="62" t="s">
        <v>117</v>
      </c>
      <c r="K345" s="72">
        <v>45756.0</v>
      </c>
      <c r="L345" s="103"/>
      <c r="M345" s="67" t="s">
        <v>318</v>
      </c>
      <c r="N345" s="67">
        <v>18.0</v>
      </c>
      <c r="O345" s="67" t="s">
        <v>198</v>
      </c>
      <c r="P345" s="68"/>
      <c r="Q345" s="68"/>
    </row>
    <row r="346" hidden="1">
      <c r="A346" s="106">
        <v>448.0</v>
      </c>
      <c r="B346" s="82" t="s">
        <v>11</v>
      </c>
      <c r="C346" s="83"/>
      <c r="D346" s="84"/>
      <c r="E346" s="83"/>
      <c r="F346" s="66" t="s">
        <v>124</v>
      </c>
      <c r="G346" s="85" t="s">
        <v>129</v>
      </c>
      <c r="H346" s="86" t="s">
        <v>130</v>
      </c>
      <c r="I346" s="87" t="s">
        <v>131</v>
      </c>
      <c r="J346" s="62" t="s">
        <v>117</v>
      </c>
      <c r="K346" s="63">
        <v>45789.0</v>
      </c>
      <c r="L346" s="75"/>
      <c r="M346" s="68"/>
      <c r="N346" s="65">
        <v>25.0</v>
      </c>
      <c r="O346" s="67" t="s">
        <v>165</v>
      </c>
      <c r="P346" s="68"/>
      <c r="Q346" s="68"/>
    </row>
    <row r="347" hidden="1">
      <c r="A347" s="104">
        <v>448.0</v>
      </c>
      <c r="B347" s="89" t="s">
        <v>11</v>
      </c>
      <c r="C347" s="90"/>
      <c r="D347" s="91"/>
      <c r="E347" s="90"/>
      <c r="F347" s="66" t="s">
        <v>124</v>
      </c>
      <c r="G347" s="92" t="s">
        <v>133</v>
      </c>
      <c r="H347" s="93" t="s">
        <v>134</v>
      </c>
      <c r="I347" s="94" t="s">
        <v>135</v>
      </c>
      <c r="J347" s="62" t="s">
        <v>117</v>
      </c>
      <c r="K347" s="72">
        <v>45790.0</v>
      </c>
      <c r="L347" s="103"/>
      <c r="M347" s="67"/>
      <c r="N347" s="67">
        <v>75.0</v>
      </c>
      <c r="O347" s="67" t="s">
        <v>136</v>
      </c>
      <c r="P347" s="68"/>
      <c r="Q347" s="68"/>
    </row>
    <row r="348" hidden="1">
      <c r="A348" s="97">
        <v>448.0</v>
      </c>
      <c r="B348" s="96" t="s">
        <v>11</v>
      </c>
      <c r="C348" s="97"/>
      <c r="D348" s="96"/>
      <c r="E348" s="98"/>
      <c r="F348" s="58" t="s">
        <v>137</v>
      </c>
      <c r="G348" s="58" t="s">
        <v>129</v>
      </c>
      <c r="H348" s="86" t="s">
        <v>138</v>
      </c>
      <c r="I348" s="61" t="s">
        <v>139</v>
      </c>
      <c r="J348" s="62" t="s">
        <v>117</v>
      </c>
      <c r="K348" s="63">
        <v>45796.0</v>
      </c>
      <c r="L348" s="62" t="s">
        <v>118</v>
      </c>
      <c r="M348" s="64" t="s">
        <v>140</v>
      </c>
      <c r="N348" s="65">
        <v>6.0</v>
      </c>
      <c r="O348" s="67" t="s">
        <v>141</v>
      </c>
      <c r="P348" s="68"/>
      <c r="Q348" s="68"/>
    </row>
    <row r="349" hidden="1">
      <c r="A349" s="106">
        <v>448.0</v>
      </c>
      <c r="B349" s="82" t="s">
        <v>11</v>
      </c>
      <c r="C349" s="106"/>
      <c r="D349" s="82"/>
      <c r="E349" s="83"/>
      <c r="F349" s="58" t="s">
        <v>137</v>
      </c>
      <c r="G349" s="85" t="s">
        <v>129</v>
      </c>
      <c r="H349" s="86" t="s">
        <v>134</v>
      </c>
      <c r="I349" s="40" t="s">
        <v>319</v>
      </c>
      <c r="J349" s="62" t="s">
        <v>117</v>
      </c>
      <c r="K349" s="63">
        <v>45805.0</v>
      </c>
      <c r="L349" s="62" t="s">
        <v>118</v>
      </c>
      <c r="M349" s="64" t="s">
        <v>320</v>
      </c>
      <c r="N349" s="65">
        <v>5.0</v>
      </c>
      <c r="O349" s="67"/>
      <c r="P349" s="68"/>
      <c r="Q349" s="68"/>
    </row>
    <row r="350" hidden="1">
      <c r="A350" s="106">
        <v>448.0</v>
      </c>
      <c r="B350" s="82" t="s">
        <v>11</v>
      </c>
      <c r="C350" s="97"/>
      <c r="D350" s="96"/>
      <c r="E350" s="98"/>
      <c r="F350" s="66" t="s">
        <v>124</v>
      </c>
      <c r="G350" s="58" t="s">
        <v>129</v>
      </c>
      <c r="H350" s="86" t="s">
        <v>130</v>
      </c>
      <c r="I350" s="61" t="s">
        <v>142</v>
      </c>
      <c r="J350" s="62" t="s">
        <v>117</v>
      </c>
      <c r="K350" s="63">
        <v>45818.0</v>
      </c>
      <c r="L350" s="99"/>
      <c r="M350" s="64" t="s">
        <v>143</v>
      </c>
      <c r="N350" s="65">
        <v>15.0</v>
      </c>
      <c r="O350" s="67"/>
      <c r="P350" s="68"/>
      <c r="Q350" s="68"/>
    </row>
    <row r="351" hidden="1">
      <c r="A351" s="106">
        <v>448.0</v>
      </c>
      <c r="B351" s="82" t="s">
        <v>11</v>
      </c>
      <c r="C351" s="97"/>
      <c r="D351" s="96"/>
      <c r="E351" s="98"/>
      <c r="F351" s="66" t="s">
        <v>124</v>
      </c>
      <c r="G351" s="66" t="s">
        <v>125</v>
      </c>
      <c r="H351" s="86" t="s">
        <v>130</v>
      </c>
      <c r="I351" s="61" t="s">
        <v>144</v>
      </c>
      <c r="J351" s="62" t="s">
        <v>117</v>
      </c>
      <c r="K351" s="63">
        <v>45818.0</v>
      </c>
      <c r="L351" s="99"/>
      <c r="M351" s="64" t="s">
        <v>145</v>
      </c>
      <c r="N351" s="65">
        <v>5.0</v>
      </c>
      <c r="O351" s="67"/>
      <c r="P351" s="68"/>
      <c r="Q351" s="68"/>
    </row>
    <row r="352" hidden="1">
      <c r="A352" s="106">
        <v>448.0</v>
      </c>
      <c r="B352" s="82" t="s">
        <v>11</v>
      </c>
      <c r="C352" s="97"/>
      <c r="D352" s="96"/>
      <c r="E352" s="98"/>
      <c r="F352" s="66" t="s">
        <v>124</v>
      </c>
      <c r="G352" s="66" t="s">
        <v>125</v>
      </c>
      <c r="H352" s="86" t="s">
        <v>146</v>
      </c>
      <c r="I352" s="61" t="s">
        <v>147</v>
      </c>
      <c r="J352" s="62" t="s">
        <v>117</v>
      </c>
      <c r="K352" s="63">
        <v>45818.0</v>
      </c>
      <c r="L352" s="62" t="s">
        <v>118</v>
      </c>
      <c r="M352" s="64" t="s">
        <v>148</v>
      </c>
      <c r="N352" s="65">
        <v>8.0</v>
      </c>
      <c r="O352" s="67" t="s">
        <v>149</v>
      </c>
      <c r="P352" s="68"/>
      <c r="Q352" s="68"/>
    </row>
    <row r="353">
      <c r="A353" s="100">
        <v>448.0</v>
      </c>
      <c r="B353" s="78" t="s">
        <v>11</v>
      </c>
      <c r="C353" s="101">
        <v>45702.0</v>
      </c>
      <c r="D353" s="56" t="s">
        <v>321</v>
      </c>
      <c r="E353" s="90" t="s">
        <v>242</v>
      </c>
      <c r="F353" s="58" t="s">
        <v>116</v>
      </c>
      <c r="G353" s="59"/>
      <c r="H353" s="60"/>
      <c r="I353" s="61"/>
      <c r="J353" s="62"/>
      <c r="K353" s="63"/>
      <c r="L353" s="62"/>
      <c r="M353" s="64"/>
      <c r="N353" s="102"/>
      <c r="O353" s="67"/>
      <c r="P353" s="68"/>
      <c r="Q353" s="68"/>
    </row>
    <row r="354" hidden="1">
      <c r="A354" s="106">
        <v>459.0</v>
      </c>
      <c r="B354" s="82" t="s">
        <v>11</v>
      </c>
      <c r="C354" s="106"/>
      <c r="D354" s="82"/>
      <c r="E354" s="83"/>
      <c r="F354" s="66" t="s">
        <v>124</v>
      </c>
      <c r="G354" s="85" t="s">
        <v>129</v>
      </c>
      <c r="H354" s="86" t="s">
        <v>130</v>
      </c>
      <c r="I354" s="87" t="s">
        <v>131</v>
      </c>
      <c r="J354" s="62" t="s">
        <v>117</v>
      </c>
      <c r="K354" s="63">
        <v>45789.0</v>
      </c>
      <c r="L354" s="75"/>
      <c r="M354" s="68"/>
      <c r="N354" s="65">
        <v>25.0</v>
      </c>
      <c r="O354" s="67" t="s">
        <v>165</v>
      </c>
      <c r="P354" s="68"/>
      <c r="Q354" s="68"/>
    </row>
    <row r="355" hidden="1">
      <c r="A355" s="104">
        <v>459.0</v>
      </c>
      <c r="B355" s="89" t="s">
        <v>11</v>
      </c>
      <c r="C355" s="90"/>
      <c r="D355" s="91"/>
      <c r="E355" s="90"/>
      <c r="F355" s="66" t="s">
        <v>124</v>
      </c>
      <c r="G355" s="92" t="s">
        <v>133</v>
      </c>
      <c r="H355" s="93" t="s">
        <v>134</v>
      </c>
      <c r="I355" s="94" t="s">
        <v>135</v>
      </c>
      <c r="J355" s="62" t="s">
        <v>117</v>
      </c>
      <c r="K355" s="72">
        <v>45790.0</v>
      </c>
      <c r="L355" s="103"/>
      <c r="M355" s="67"/>
      <c r="N355" s="67">
        <v>75.0</v>
      </c>
      <c r="O355" s="67" t="s">
        <v>136</v>
      </c>
      <c r="P355" s="68"/>
      <c r="Q355" s="68"/>
    </row>
    <row r="356" hidden="1">
      <c r="A356" s="97">
        <v>459.0</v>
      </c>
      <c r="B356" s="96" t="s">
        <v>11</v>
      </c>
      <c r="C356" s="97"/>
      <c r="D356" s="96"/>
      <c r="E356" s="98"/>
      <c r="F356" s="58" t="s">
        <v>137</v>
      </c>
      <c r="G356" s="58" t="s">
        <v>129</v>
      </c>
      <c r="H356" s="86" t="s">
        <v>138</v>
      </c>
      <c r="I356" s="61" t="s">
        <v>139</v>
      </c>
      <c r="J356" s="62" t="s">
        <v>117</v>
      </c>
      <c r="K356" s="63">
        <v>45796.0</v>
      </c>
      <c r="L356" s="62" t="s">
        <v>118</v>
      </c>
      <c r="M356" s="64" t="s">
        <v>140</v>
      </c>
      <c r="N356" s="65">
        <v>6.0</v>
      </c>
      <c r="O356" s="67" t="s">
        <v>141</v>
      </c>
      <c r="P356" s="68"/>
      <c r="Q356" s="68"/>
    </row>
    <row r="357" hidden="1">
      <c r="A357" s="106">
        <v>459.0</v>
      </c>
      <c r="B357" s="82" t="s">
        <v>11</v>
      </c>
      <c r="C357" s="106"/>
      <c r="D357" s="82"/>
      <c r="E357" s="83"/>
      <c r="F357" s="58" t="s">
        <v>137</v>
      </c>
      <c r="G357" s="66" t="s">
        <v>125</v>
      </c>
      <c r="H357" s="86" t="s">
        <v>134</v>
      </c>
      <c r="I357" s="87" t="s">
        <v>322</v>
      </c>
      <c r="J357" s="62" t="s">
        <v>162</v>
      </c>
      <c r="K357" s="63"/>
      <c r="L357" s="99"/>
      <c r="M357" s="64"/>
      <c r="N357" s="65"/>
      <c r="O357" s="67"/>
      <c r="P357" s="68"/>
      <c r="Q357" s="68"/>
    </row>
    <row r="358" hidden="1">
      <c r="A358" s="106">
        <v>459.0</v>
      </c>
      <c r="B358" s="82" t="s">
        <v>11</v>
      </c>
      <c r="C358" s="106"/>
      <c r="D358" s="82"/>
      <c r="E358" s="83"/>
      <c r="F358" s="58" t="s">
        <v>137</v>
      </c>
      <c r="G358" s="66" t="s">
        <v>125</v>
      </c>
      <c r="H358" s="86" t="s">
        <v>146</v>
      </c>
      <c r="I358" s="112" t="s">
        <v>91</v>
      </c>
      <c r="J358" s="62" t="s">
        <v>162</v>
      </c>
      <c r="K358" s="63"/>
      <c r="L358" s="99"/>
      <c r="M358" s="64"/>
      <c r="N358" s="65"/>
      <c r="O358" s="67"/>
      <c r="P358" s="68"/>
      <c r="Q358" s="68"/>
    </row>
    <row r="359" hidden="1">
      <c r="A359" s="106">
        <v>459.0</v>
      </c>
      <c r="B359" s="82" t="s">
        <v>11</v>
      </c>
      <c r="C359" s="97"/>
      <c r="D359" s="96"/>
      <c r="E359" s="98"/>
      <c r="F359" s="66" t="s">
        <v>124</v>
      </c>
      <c r="G359" s="58" t="s">
        <v>129</v>
      </c>
      <c r="H359" s="86" t="s">
        <v>130</v>
      </c>
      <c r="I359" s="61" t="s">
        <v>142</v>
      </c>
      <c r="J359" s="62" t="s">
        <v>117</v>
      </c>
      <c r="K359" s="63">
        <v>45818.0</v>
      </c>
      <c r="L359" s="99"/>
      <c r="M359" s="64" t="s">
        <v>143</v>
      </c>
      <c r="N359" s="65">
        <v>15.0</v>
      </c>
      <c r="O359" s="67"/>
      <c r="P359" s="68"/>
      <c r="Q359" s="68"/>
    </row>
    <row r="360" hidden="1">
      <c r="A360" s="106">
        <v>459.0</v>
      </c>
      <c r="B360" s="82" t="s">
        <v>11</v>
      </c>
      <c r="C360" s="97"/>
      <c r="D360" s="96"/>
      <c r="E360" s="98"/>
      <c r="F360" s="66" t="s">
        <v>124</v>
      </c>
      <c r="G360" s="66" t="s">
        <v>125</v>
      </c>
      <c r="H360" s="86" t="s">
        <v>130</v>
      </c>
      <c r="I360" s="61" t="s">
        <v>144</v>
      </c>
      <c r="J360" s="62" t="s">
        <v>117</v>
      </c>
      <c r="K360" s="63">
        <v>45818.0</v>
      </c>
      <c r="L360" s="99"/>
      <c r="M360" s="64" t="s">
        <v>145</v>
      </c>
      <c r="N360" s="65">
        <v>5.0</v>
      </c>
      <c r="O360" s="67"/>
      <c r="P360" s="68"/>
      <c r="Q360" s="68"/>
    </row>
    <row r="361" hidden="1">
      <c r="A361" s="106">
        <v>459.0</v>
      </c>
      <c r="B361" s="82" t="s">
        <v>11</v>
      </c>
      <c r="C361" s="97"/>
      <c r="D361" s="96"/>
      <c r="E361" s="98"/>
      <c r="F361" s="66" t="s">
        <v>124</v>
      </c>
      <c r="G361" s="66" t="s">
        <v>125</v>
      </c>
      <c r="H361" s="86" t="s">
        <v>146</v>
      </c>
      <c r="I361" s="61" t="s">
        <v>147</v>
      </c>
      <c r="J361" s="62" t="s">
        <v>117</v>
      </c>
      <c r="K361" s="63">
        <v>45818.0</v>
      </c>
      <c r="L361" s="62" t="s">
        <v>118</v>
      </c>
      <c r="M361" s="64" t="s">
        <v>148</v>
      </c>
      <c r="N361" s="65">
        <v>8.0</v>
      </c>
      <c r="O361" s="67" t="s">
        <v>149</v>
      </c>
      <c r="P361" s="68"/>
      <c r="Q361" s="68"/>
    </row>
    <row r="362">
      <c r="A362" s="109">
        <v>459.0</v>
      </c>
      <c r="B362" s="78" t="s">
        <v>11</v>
      </c>
      <c r="C362" s="165">
        <v>45777.0</v>
      </c>
      <c r="D362" s="91" t="s">
        <v>122</v>
      </c>
      <c r="E362" s="90" t="s">
        <v>242</v>
      </c>
      <c r="F362" s="58" t="s">
        <v>116</v>
      </c>
      <c r="G362" s="140"/>
      <c r="H362" s="166"/>
      <c r="I362" s="94"/>
      <c r="J362" s="99"/>
      <c r="K362" s="72"/>
      <c r="L362" s="66"/>
      <c r="M362" s="67"/>
      <c r="N362" s="105"/>
      <c r="O362" s="68"/>
      <c r="P362" s="68"/>
      <c r="Q362" s="68"/>
    </row>
    <row r="363" hidden="1">
      <c r="A363" s="106">
        <v>461.0</v>
      </c>
      <c r="B363" s="82" t="s">
        <v>11</v>
      </c>
      <c r="C363" s="106"/>
      <c r="D363" s="82"/>
      <c r="E363" s="83"/>
      <c r="F363" s="66" t="s">
        <v>124</v>
      </c>
      <c r="G363" s="85" t="s">
        <v>129</v>
      </c>
      <c r="H363" s="86" t="s">
        <v>130</v>
      </c>
      <c r="I363" s="87" t="s">
        <v>131</v>
      </c>
      <c r="J363" s="62" t="s">
        <v>117</v>
      </c>
      <c r="K363" s="63">
        <v>45789.0</v>
      </c>
      <c r="L363" s="75"/>
      <c r="M363" s="68"/>
      <c r="N363" s="65">
        <v>25.0</v>
      </c>
      <c r="O363" s="67" t="s">
        <v>165</v>
      </c>
      <c r="P363" s="68"/>
      <c r="Q363" s="68"/>
    </row>
    <row r="364" hidden="1">
      <c r="A364" s="104">
        <v>461.0</v>
      </c>
      <c r="B364" s="89" t="s">
        <v>11</v>
      </c>
      <c r="C364" s="90"/>
      <c r="D364" s="91"/>
      <c r="E364" s="90"/>
      <c r="F364" s="66" t="s">
        <v>124</v>
      </c>
      <c r="G364" s="92" t="s">
        <v>133</v>
      </c>
      <c r="H364" s="93" t="s">
        <v>134</v>
      </c>
      <c r="I364" s="94" t="s">
        <v>135</v>
      </c>
      <c r="J364" s="62" t="s">
        <v>117</v>
      </c>
      <c r="K364" s="72">
        <v>45790.0</v>
      </c>
      <c r="L364" s="66" t="s">
        <v>118</v>
      </c>
      <c r="M364" s="67"/>
      <c r="N364" s="67">
        <v>75.0</v>
      </c>
      <c r="O364" s="67" t="s">
        <v>136</v>
      </c>
      <c r="P364" s="68">
        <f>2650/60</f>
        <v>44.16666667</v>
      </c>
      <c r="Q364" s="68"/>
    </row>
    <row r="365" hidden="1">
      <c r="A365" s="97">
        <v>461.0</v>
      </c>
      <c r="B365" s="96" t="s">
        <v>11</v>
      </c>
      <c r="C365" s="97"/>
      <c r="D365" s="96"/>
      <c r="E365" s="98"/>
      <c r="F365" s="58" t="s">
        <v>137</v>
      </c>
      <c r="G365" s="58" t="s">
        <v>129</v>
      </c>
      <c r="H365" s="86" t="s">
        <v>138</v>
      </c>
      <c r="I365" s="61" t="s">
        <v>139</v>
      </c>
      <c r="J365" s="62" t="s">
        <v>162</v>
      </c>
      <c r="K365" s="63"/>
      <c r="L365" s="99"/>
      <c r="M365" s="64"/>
      <c r="N365" s="102"/>
      <c r="O365" s="67"/>
      <c r="P365" s="68"/>
      <c r="Q365" s="68"/>
    </row>
    <row r="366" hidden="1">
      <c r="A366" s="97">
        <v>461.0</v>
      </c>
      <c r="B366" s="96" t="s">
        <v>11</v>
      </c>
      <c r="C366" s="97"/>
      <c r="D366" s="96"/>
      <c r="E366" s="98"/>
      <c r="F366" s="58" t="s">
        <v>137</v>
      </c>
      <c r="G366" s="66" t="s">
        <v>125</v>
      </c>
      <c r="H366" s="86" t="s">
        <v>146</v>
      </c>
      <c r="I366" s="112" t="s">
        <v>91</v>
      </c>
      <c r="J366" s="62" t="s">
        <v>162</v>
      </c>
      <c r="K366" s="63"/>
      <c r="L366" s="99"/>
      <c r="M366" s="64"/>
      <c r="N366" s="102"/>
      <c r="O366" s="67"/>
      <c r="P366" s="68"/>
      <c r="Q366" s="68"/>
    </row>
    <row r="367" hidden="1">
      <c r="A367" s="106">
        <v>461.0</v>
      </c>
      <c r="B367" s="82" t="s">
        <v>11</v>
      </c>
      <c r="C367" s="97"/>
      <c r="D367" s="96"/>
      <c r="E367" s="98"/>
      <c r="F367" s="66" t="s">
        <v>124</v>
      </c>
      <c r="G367" s="58" t="s">
        <v>129</v>
      </c>
      <c r="H367" s="86" t="s">
        <v>130</v>
      </c>
      <c r="I367" s="61" t="s">
        <v>142</v>
      </c>
      <c r="J367" s="62" t="s">
        <v>117</v>
      </c>
      <c r="K367" s="63">
        <v>45818.0</v>
      </c>
      <c r="L367" s="99"/>
      <c r="M367" s="64" t="s">
        <v>143</v>
      </c>
      <c r="N367" s="65">
        <v>15.0</v>
      </c>
      <c r="O367" s="67"/>
      <c r="P367" s="68"/>
      <c r="Q367" s="68"/>
    </row>
    <row r="368" hidden="1">
      <c r="A368" s="106">
        <v>461.0</v>
      </c>
      <c r="B368" s="82" t="s">
        <v>11</v>
      </c>
      <c r="C368" s="97"/>
      <c r="D368" s="96"/>
      <c r="E368" s="98"/>
      <c r="F368" s="66" t="s">
        <v>124</v>
      </c>
      <c r="G368" s="66" t="s">
        <v>125</v>
      </c>
      <c r="H368" s="86" t="s">
        <v>130</v>
      </c>
      <c r="I368" s="61" t="s">
        <v>144</v>
      </c>
      <c r="J368" s="62" t="s">
        <v>117</v>
      </c>
      <c r="K368" s="63">
        <v>45818.0</v>
      </c>
      <c r="L368" s="99"/>
      <c r="M368" s="64" t="s">
        <v>145</v>
      </c>
      <c r="N368" s="65">
        <v>5.0</v>
      </c>
      <c r="O368" s="67"/>
      <c r="P368" s="68"/>
      <c r="Q368" s="68"/>
    </row>
    <row r="369" hidden="1">
      <c r="A369" s="106">
        <v>461.0</v>
      </c>
      <c r="B369" s="82" t="s">
        <v>11</v>
      </c>
      <c r="C369" s="97"/>
      <c r="D369" s="96"/>
      <c r="E369" s="98"/>
      <c r="F369" s="66" t="s">
        <v>124</v>
      </c>
      <c r="G369" s="66" t="s">
        <v>125</v>
      </c>
      <c r="H369" s="86" t="s">
        <v>146</v>
      </c>
      <c r="I369" s="61" t="s">
        <v>147</v>
      </c>
      <c r="J369" s="62" t="s">
        <v>117</v>
      </c>
      <c r="K369" s="63">
        <v>45818.0</v>
      </c>
      <c r="L369" s="62" t="s">
        <v>118</v>
      </c>
      <c r="M369" s="64" t="s">
        <v>148</v>
      </c>
      <c r="N369" s="65">
        <v>8.0</v>
      </c>
      <c r="O369" s="67" t="s">
        <v>149</v>
      </c>
      <c r="P369" s="68"/>
      <c r="Q369" s="68"/>
    </row>
    <row r="370">
      <c r="A370" s="104">
        <v>461.0</v>
      </c>
      <c r="B370" s="78" t="s">
        <v>11</v>
      </c>
      <c r="C370" s="165">
        <v>45777.0</v>
      </c>
      <c r="D370" s="91" t="s">
        <v>122</v>
      </c>
      <c r="E370" s="90" t="s">
        <v>242</v>
      </c>
      <c r="F370" s="58" t="s">
        <v>116</v>
      </c>
      <c r="G370" s="140"/>
      <c r="H370" s="166"/>
      <c r="I370" s="94"/>
      <c r="J370" s="99"/>
      <c r="K370" s="72"/>
      <c r="L370" s="103"/>
      <c r="M370" s="67"/>
      <c r="N370" s="105"/>
      <c r="O370" s="68"/>
      <c r="P370" s="68"/>
      <c r="Q370" s="68"/>
    </row>
    <row r="371" hidden="1">
      <c r="A371" s="106">
        <v>462.0</v>
      </c>
      <c r="B371" s="82" t="s">
        <v>11</v>
      </c>
      <c r="C371" s="106"/>
      <c r="D371" s="82"/>
      <c r="E371" s="83"/>
      <c r="F371" s="66" t="s">
        <v>124</v>
      </c>
      <c r="G371" s="85" t="s">
        <v>129</v>
      </c>
      <c r="H371" s="86" t="s">
        <v>130</v>
      </c>
      <c r="I371" s="87" t="s">
        <v>131</v>
      </c>
      <c r="J371" s="62" t="s">
        <v>117</v>
      </c>
      <c r="K371" s="63">
        <v>45789.0</v>
      </c>
      <c r="L371" s="99"/>
      <c r="M371" s="161" t="s">
        <v>323</v>
      </c>
      <c r="N371" s="65">
        <v>25.0</v>
      </c>
      <c r="O371" s="67" t="s">
        <v>165</v>
      </c>
      <c r="P371" s="68"/>
      <c r="Q371" s="68"/>
    </row>
    <row r="372" hidden="1">
      <c r="A372" s="104">
        <v>462.0</v>
      </c>
      <c r="B372" s="89" t="s">
        <v>11</v>
      </c>
      <c r="C372" s="90"/>
      <c r="D372" s="91"/>
      <c r="E372" s="90"/>
      <c r="F372" s="66" t="s">
        <v>124</v>
      </c>
      <c r="G372" s="92" t="s">
        <v>133</v>
      </c>
      <c r="H372" s="93" t="s">
        <v>134</v>
      </c>
      <c r="I372" s="94" t="s">
        <v>135</v>
      </c>
      <c r="J372" s="62" t="s">
        <v>117</v>
      </c>
      <c r="K372" s="72">
        <v>45790.0</v>
      </c>
      <c r="L372" s="66" t="s">
        <v>118</v>
      </c>
      <c r="M372" s="67"/>
      <c r="N372" s="67">
        <v>75.0</v>
      </c>
      <c r="O372" s="67" t="s">
        <v>136</v>
      </c>
      <c r="P372" s="68"/>
      <c r="Q372" s="68"/>
    </row>
    <row r="373" hidden="1">
      <c r="A373" s="97">
        <v>462.0</v>
      </c>
      <c r="B373" s="96" t="s">
        <v>11</v>
      </c>
      <c r="C373" s="97"/>
      <c r="D373" s="96"/>
      <c r="E373" s="98"/>
      <c r="F373" s="58" t="s">
        <v>137</v>
      </c>
      <c r="G373" s="58" t="s">
        <v>129</v>
      </c>
      <c r="H373" s="86" t="s">
        <v>138</v>
      </c>
      <c r="I373" s="61" t="s">
        <v>139</v>
      </c>
      <c r="J373" s="62" t="s">
        <v>162</v>
      </c>
      <c r="K373" s="63"/>
      <c r="L373" s="99"/>
      <c r="M373" s="64"/>
      <c r="N373" s="102"/>
      <c r="O373" s="67"/>
      <c r="P373" s="68"/>
      <c r="Q373" s="68"/>
    </row>
    <row r="374" hidden="1">
      <c r="A374" s="106">
        <v>462.0</v>
      </c>
      <c r="B374" s="82" t="s">
        <v>11</v>
      </c>
      <c r="C374" s="97"/>
      <c r="D374" s="96"/>
      <c r="E374" s="98"/>
      <c r="F374" s="66" t="s">
        <v>124</v>
      </c>
      <c r="G374" s="58" t="s">
        <v>129</v>
      </c>
      <c r="H374" s="86" t="s">
        <v>130</v>
      </c>
      <c r="I374" s="61" t="s">
        <v>142</v>
      </c>
      <c r="J374" s="62" t="s">
        <v>117</v>
      </c>
      <c r="K374" s="63">
        <v>45818.0</v>
      </c>
      <c r="L374" s="99"/>
      <c r="M374" s="64" t="s">
        <v>143</v>
      </c>
      <c r="N374" s="65">
        <v>15.0</v>
      </c>
      <c r="O374" s="67"/>
      <c r="P374" s="68"/>
      <c r="Q374" s="68"/>
    </row>
    <row r="375" hidden="1">
      <c r="A375" s="106">
        <v>462.0</v>
      </c>
      <c r="B375" s="82" t="s">
        <v>11</v>
      </c>
      <c r="C375" s="97"/>
      <c r="D375" s="96"/>
      <c r="E375" s="98"/>
      <c r="F375" s="66" t="s">
        <v>124</v>
      </c>
      <c r="G375" s="66" t="s">
        <v>125</v>
      </c>
      <c r="H375" s="86" t="s">
        <v>130</v>
      </c>
      <c r="I375" s="61" t="s">
        <v>144</v>
      </c>
      <c r="J375" s="62" t="s">
        <v>117</v>
      </c>
      <c r="K375" s="63">
        <v>45818.0</v>
      </c>
      <c r="L375" s="99"/>
      <c r="M375" s="64" t="s">
        <v>145</v>
      </c>
      <c r="N375" s="65">
        <v>5.0</v>
      </c>
      <c r="O375" s="67"/>
      <c r="P375" s="68"/>
      <c r="Q375" s="68"/>
    </row>
    <row r="376" hidden="1">
      <c r="A376" s="106">
        <v>462.0</v>
      </c>
      <c r="B376" s="82" t="s">
        <v>11</v>
      </c>
      <c r="C376" s="97"/>
      <c r="D376" s="96"/>
      <c r="E376" s="98"/>
      <c r="F376" s="66" t="s">
        <v>124</v>
      </c>
      <c r="G376" s="66" t="s">
        <v>125</v>
      </c>
      <c r="H376" s="86" t="s">
        <v>146</v>
      </c>
      <c r="I376" s="61" t="s">
        <v>147</v>
      </c>
      <c r="J376" s="62" t="s">
        <v>117</v>
      </c>
      <c r="K376" s="63">
        <v>45818.0</v>
      </c>
      <c r="L376" s="62" t="s">
        <v>118</v>
      </c>
      <c r="M376" s="64" t="s">
        <v>148</v>
      </c>
      <c r="N376" s="65">
        <v>8.0</v>
      </c>
      <c r="O376" s="67" t="s">
        <v>149</v>
      </c>
      <c r="P376" s="68"/>
      <c r="Q376" s="68"/>
    </row>
    <row r="377">
      <c r="A377" s="104">
        <v>462.0</v>
      </c>
      <c r="B377" s="78" t="s">
        <v>11</v>
      </c>
      <c r="C377" s="165">
        <v>45777.0</v>
      </c>
      <c r="D377" s="91" t="s">
        <v>122</v>
      </c>
      <c r="E377" s="90" t="s">
        <v>242</v>
      </c>
      <c r="F377" s="58" t="s">
        <v>116</v>
      </c>
      <c r="G377" s="140"/>
      <c r="H377" s="166"/>
      <c r="I377" s="94"/>
      <c r="J377" s="99"/>
      <c r="K377" s="72"/>
      <c r="L377" s="103"/>
      <c r="M377" s="67"/>
      <c r="N377" s="105"/>
      <c r="O377" s="68"/>
      <c r="P377" s="68"/>
      <c r="Q377" s="68"/>
    </row>
    <row r="378" hidden="1">
      <c r="A378" s="104"/>
      <c r="B378" s="89"/>
      <c r="C378" s="97"/>
      <c r="D378" s="96"/>
      <c r="E378" s="98"/>
      <c r="F378" s="59"/>
      <c r="G378" s="59"/>
      <c r="H378" s="60"/>
      <c r="I378" s="61"/>
      <c r="J378" s="62"/>
      <c r="K378" s="63"/>
      <c r="L378" s="62"/>
      <c r="M378" s="64"/>
      <c r="N378" s="102"/>
      <c r="O378" s="67"/>
      <c r="P378" s="68"/>
      <c r="Q378" s="68"/>
    </row>
    <row r="379" hidden="1">
      <c r="A379" s="104"/>
      <c r="B379" s="89"/>
      <c r="C379" s="97"/>
      <c r="D379" s="96"/>
      <c r="E379" s="98"/>
      <c r="F379" s="59"/>
      <c r="G379" s="59"/>
      <c r="H379" s="60"/>
      <c r="I379" s="61"/>
      <c r="J379" s="62"/>
      <c r="K379" s="63"/>
      <c r="L379" s="62"/>
      <c r="M379" s="64"/>
      <c r="N379" s="102"/>
      <c r="O379" s="67"/>
      <c r="P379" s="68"/>
      <c r="Q379" s="68"/>
    </row>
    <row r="380" hidden="1">
      <c r="A380" s="104"/>
      <c r="B380" s="89"/>
      <c r="C380" s="97"/>
      <c r="D380" s="96"/>
      <c r="E380" s="98"/>
      <c r="F380" s="59"/>
      <c r="G380" s="59"/>
      <c r="H380" s="60"/>
      <c r="I380" s="61"/>
      <c r="J380" s="62"/>
      <c r="K380" s="63"/>
      <c r="L380" s="62"/>
      <c r="M380" s="64"/>
      <c r="N380" s="102"/>
      <c r="O380" s="67"/>
      <c r="P380" s="68"/>
      <c r="Q380" s="68"/>
    </row>
    <row r="381" hidden="1">
      <c r="A381" s="104"/>
      <c r="B381" s="89"/>
      <c r="C381" s="97"/>
      <c r="D381" s="96"/>
      <c r="E381" s="98"/>
      <c r="F381" s="59"/>
      <c r="G381" s="59"/>
      <c r="H381" s="60"/>
      <c r="I381" s="61"/>
      <c r="J381" s="62"/>
      <c r="K381" s="63"/>
      <c r="L381" s="62"/>
      <c r="M381" s="64"/>
      <c r="N381" s="102"/>
      <c r="O381" s="67"/>
      <c r="P381" s="68"/>
      <c r="Q381" s="68"/>
    </row>
    <row r="382" hidden="1">
      <c r="A382" s="104"/>
      <c r="B382" s="89"/>
      <c r="C382" s="97"/>
      <c r="D382" s="96"/>
      <c r="E382" s="98"/>
      <c r="F382" s="59"/>
      <c r="G382" s="59"/>
      <c r="H382" s="60"/>
      <c r="I382" s="61"/>
      <c r="J382" s="62"/>
      <c r="K382" s="63"/>
      <c r="L382" s="62"/>
      <c r="M382" s="64"/>
      <c r="N382" s="102"/>
      <c r="O382" s="67"/>
      <c r="P382" s="68"/>
      <c r="Q382" s="68"/>
    </row>
    <row r="383" hidden="1">
      <c r="A383" s="104"/>
      <c r="B383" s="89"/>
      <c r="C383" s="97"/>
      <c r="D383" s="96"/>
      <c r="E383" s="98"/>
      <c r="F383" s="59"/>
      <c r="G383" s="59"/>
      <c r="H383" s="60"/>
      <c r="I383" s="61"/>
      <c r="J383" s="62"/>
      <c r="K383" s="63"/>
      <c r="L383" s="62"/>
      <c r="M383" s="64"/>
      <c r="N383" s="102"/>
      <c r="O383" s="67"/>
      <c r="P383" s="68"/>
      <c r="Q383" s="68"/>
    </row>
    <row r="384" hidden="1">
      <c r="A384" s="104"/>
      <c r="B384" s="89"/>
      <c r="C384" s="97"/>
      <c r="D384" s="96"/>
      <c r="E384" s="98"/>
      <c r="F384" s="59"/>
      <c r="G384" s="59"/>
      <c r="H384" s="60"/>
      <c r="I384" s="61"/>
      <c r="J384" s="62"/>
      <c r="K384" s="63"/>
      <c r="L384" s="62"/>
      <c r="M384" s="64"/>
      <c r="N384" s="102"/>
      <c r="O384" s="67"/>
      <c r="P384" s="68"/>
      <c r="Q384" s="68"/>
    </row>
    <row r="385" hidden="1">
      <c r="A385" s="104"/>
      <c r="B385" s="89"/>
      <c r="C385" s="97"/>
      <c r="D385" s="96"/>
      <c r="E385" s="98"/>
      <c r="F385" s="59"/>
      <c r="G385" s="59"/>
      <c r="H385" s="60"/>
      <c r="I385" s="61"/>
      <c r="J385" s="62"/>
      <c r="K385" s="63"/>
      <c r="L385" s="62"/>
      <c r="M385" s="64"/>
      <c r="N385" s="102"/>
      <c r="O385" s="67"/>
      <c r="P385" s="68"/>
      <c r="Q385" s="68"/>
    </row>
    <row r="386" hidden="1">
      <c r="A386" s="104"/>
      <c r="B386" s="89"/>
      <c r="C386" s="97"/>
      <c r="D386" s="96"/>
      <c r="E386" s="98"/>
      <c r="F386" s="59"/>
      <c r="G386" s="59"/>
      <c r="H386" s="60"/>
      <c r="I386" s="61"/>
      <c r="J386" s="62"/>
      <c r="K386" s="63"/>
      <c r="L386" s="62"/>
      <c r="M386" s="64"/>
      <c r="N386" s="102"/>
      <c r="O386" s="67"/>
      <c r="P386" s="68"/>
      <c r="Q386" s="68"/>
    </row>
    <row r="387" hidden="1">
      <c r="A387" s="104"/>
      <c r="B387" s="89"/>
      <c r="C387" s="97"/>
      <c r="D387" s="96"/>
      <c r="E387" s="98"/>
      <c r="F387" s="59"/>
      <c r="G387" s="59"/>
      <c r="H387" s="60"/>
      <c r="I387" s="61"/>
      <c r="J387" s="62"/>
      <c r="K387" s="63"/>
      <c r="L387" s="62"/>
      <c r="M387" s="64"/>
      <c r="N387" s="102"/>
      <c r="O387" s="67"/>
      <c r="P387" s="68"/>
      <c r="Q387" s="68"/>
    </row>
    <row r="388" hidden="1">
      <c r="A388" s="104"/>
      <c r="B388" s="89"/>
      <c r="C388" s="97"/>
      <c r="D388" s="96"/>
      <c r="E388" s="98"/>
      <c r="F388" s="59"/>
      <c r="G388" s="59"/>
      <c r="H388" s="60"/>
      <c r="I388" s="61"/>
      <c r="J388" s="62"/>
      <c r="K388" s="63"/>
      <c r="L388" s="62"/>
      <c r="M388" s="64"/>
      <c r="N388" s="102"/>
      <c r="O388" s="67"/>
      <c r="P388" s="68"/>
      <c r="Q388" s="68"/>
    </row>
    <row r="389" hidden="1">
      <c r="A389" s="104"/>
      <c r="B389" s="89"/>
      <c r="C389" s="97"/>
      <c r="D389" s="96"/>
      <c r="E389" s="98"/>
      <c r="F389" s="59"/>
      <c r="G389" s="59"/>
      <c r="H389" s="60"/>
      <c r="I389" s="61"/>
      <c r="J389" s="62"/>
      <c r="K389" s="63"/>
      <c r="L389" s="62"/>
      <c r="M389" s="64"/>
      <c r="N389" s="102"/>
      <c r="O389" s="67"/>
      <c r="P389" s="68"/>
      <c r="Q389" s="68"/>
    </row>
    <row r="390" hidden="1">
      <c r="A390" s="104"/>
      <c r="B390" s="89"/>
      <c r="C390" s="97"/>
      <c r="D390" s="96"/>
      <c r="E390" s="98"/>
      <c r="F390" s="59"/>
      <c r="G390" s="59"/>
      <c r="H390" s="60"/>
      <c r="I390" s="61"/>
      <c r="J390" s="62"/>
      <c r="K390" s="63"/>
      <c r="L390" s="62"/>
      <c r="M390" s="64"/>
      <c r="N390" s="102"/>
      <c r="O390" s="67"/>
      <c r="P390" s="68"/>
      <c r="Q390" s="68"/>
    </row>
    <row r="391" hidden="1">
      <c r="A391" s="104"/>
      <c r="B391" s="89"/>
      <c r="C391" s="97"/>
      <c r="D391" s="96"/>
      <c r="E391" s="98"/>
      <c r="F391" s="59"/>
      <c r="G391" s="59"/>
      <c r="H391" s="60"/>
      <c r="I391" s="61"/>
      <c r="J391" s="62"/>
      <c r="K391" s="63"/>
      <c r="L391" s="62"/>
      <c r="M391" s="64"/>
      <c r="N391" s="102"/>
      <c r="O391" s="67"/>
      <c r="P391" s="68"/>
      <c r="Q391" s="68"/>
    </row>
    <row r="392" hidden="1">
      <c r="A392" s="104"/>
      <c r="B392" s="89"/>
      <c r="C392" s="97"/>
      <c r="D392" s="96"/>
      <c r="E392" s="98"/>
      <c r="F392" s="59"/>
      <c r="G392" s="59"/>
      <c r="H392" s="60"/>
      <c r="I392" s="61"/>
      <c r="J392" s="62"/>
      <c r="K392" s="63"/>
      <c r="L392" s="62"/>
      <c r="M392" s="64"/>
      <c r="N392" s="102"/>
      <c r="O392" s="67"/>
      <c r="P392" s="68"/>
      <c r="Q392" s="68"/>
    </row>
    <row r="393" hidden="1">
      <c r="A393" s="104"/>
      <c r="B393" s="89"/>
      <c r="C393" s="97"/>
      <c r="D393" s="96"/>
      <c r="E393" s="98"/>
      <c r="F393" s="59"/>
      <c r="G393" s="59"/>
      <c r="H393" s="60"/>
      <c r="I393" s="61"/>
      <c r="J393" s="62"/>
      <c r="K393" s="63"/>
      <c r="L393" s="62"/>
      <c r="M393" s="64"/>
      <c r="N393" s="102"/>
      <c r="O393" s="67"/>
      <c r="P393" s="68"/>
      <c r="Q393" s="68"/>
    </row>
    <row r="394" hidden="1">
      <c r="A394" s="104"/>
      <c r="B394" s="89"/>
      <c r="C394" s="97"/>
      <c r="D394" s="96"/>
      <c r="E394" s="98"/>
      <c r="F394" s="59"/>
      <c r="G394" s="59"/>
      <c r="H394" s="60"/>
      <c r="I394" s="61"/>
      <c r="J394" s="62"/>
      <c r="K394" s="63"/>
      <c r="L394" s="62"/>
      <c r="M394" s="64"/>
      <c r="N394" s="102"/>
      <c r="O394" s="67"/>
      <c r="P394" s="68"/>
      <c r="Q394" s="68"/>
    </row>
    <row r="395" hidden="1">
      <c r="A395" s="104"/>
      <c r="B395" s="89"/>
      <c r="C395" s="97"/>
      <c r="D395" s="96"/>
      <c r="E395" s="98"/>
      <c r="F395" s="59"/>
      <c r="G395" s="59"/>
      <c r="H395" s="60"/>
      <c r="I395" s="61"/>
      <c r="J395" s="62"/>
      <c r="K395" s="63"/>
      <c r="L395" s="62"/>
      <c r="M395" s="64"/>
      <c r="N395" s="102"/>
      <c r="O395" s="67"/>
      <c r="P395" s="68"/>
      <c r="Q395" s="68"/>
    </row>
    <row r="396" hidden="1">
      <c r="A396" s="104"/>
      <c r="B396" s="89"/>
      <c r="C396" s="97"/>
      <c r="D396" s="96"/>
      <c r="E396" s="98"/>
      <c r="F396" s="59"/>
      <c r="G396" s="59"/>
      <c r="H396" s="60"/>
      <c r="I396" s="61"/>
      <c r="J396" s="62"/>
      <c r="K396" s="63"/>
      <c r="L396" s="62"/>
      <c r="M396" s="64"/>
      <c r="N396" s="102"/>
      <c r="O396" s="67"/>
      <c r="P396" s="68"/>
      <c r="Q396" s="68"/>
    </row>
    <row r="397" hidden="1">
      <c r="A397" s="104"/>
      <c r="B397" s="89"/>
      <c r="C397" s="97"/>
      <c r="D397" s="96"/>
      <c r="E397" s="98"/>
      <c r="F397" s="59"/>
      <c r="G397" s="59"/>
      <c r="H397" s="60"/>
      <c r="I397" s="61"/>
      <c r="J397" s="62"/>
      <c r="K397" s="63"/>
      <c r="L397" s="62"/>
      <c r="M397" s="64"/>
      <c r="N397" s="102"/>
      <c r="O397" s="67"/>
      <c r="P397" s="68"/>
      <c r="Q397" s="68"/>
    </row>
    <row r="398" hidden="1">
      <c r="A398" s="104"/>
      <c r="B398" s="89"/>
      <c r="C398" s="97"/>
      <c r="D398" s="96"/>
      <c r="E398" s="98"/>
      <c r="F398" s="59"/>
      <c r="G398" s="59"/>
      <c r="H398" s="60"/>
      <c r="I398" s="61"/>
      <c r="J398" s="62"/>
      <c r="K398" s="63"/>
      <c r="L398" s="62"/>
      <c r="M398" s="64"/>
      <c r="N398" s="102"/>
      <c r="O398" s="67"/>
      <c r="P398" s="68"/>
      <c r="Q398" s="68"/>
    </row>
    <row r="399" hidden="1">
      <c r="A399" s="104"/>
      <c r="B399" s="89"/>
      <c r="C399" s="97"/>
      <c r="D399" s="96"/>
      <c r="E399" s="98"/>
      <c r="F399" s="59"/>
      <c r="G399" s="59"/>
      <c r="H399" s="60"/>
      <c r="I399" s="61"/>
      <c r="J399" s="62"/>
      <c r="K399" s="63"/>
      <c r="L399" s="62"/>
      <c r="M399" s="64"/>
      <c r="N399" s="102"/>
      <c r="O399" s="67"/>
      <c r="P399" s="68"/>
      <c r="Q399" s="68"/>
    </row>
    <row r="400" hidden="1">
      <c r="A400" s="104"/>
      <c r="B400" s="89"/>
      <c r="C400" s="97"/>
      <c r="D400" s="96"/>
      <c r="E400" s="98"/>
      <c r="F400" s="59"/>
      <c r="G400" s="59"/>
      <c r="H400" s="60"/>
      <c r="I400" s="61"/>
      <c r="J400" s="62"/>
      <c r="K400" s="63"/>
      <c r="L400" s="62"/>
      <c r="M400" s="64"/>
      <c r="N400" s="102"/>
      <c r="O400" s="67"/>
      <c r="P400" s="68"/>
      <c r="Q400" s="68"/>
    </row>
    <row r="401" hidden="1">
      <c r="A401" s="104"/>
      <c r="B401" s="89"/>
      <c r="C401" s="97"/>
      <c r="D401" s="96"/>
      <c r="E401" s="98"/>
      <c r="F401" s="59"/>
      <c r="G401" s="59"/>
      <c r="H401" s="60"/>
      <c r="I401" s="61"/>
      <c r="J401" s="62"/>
      <c r="K401" s="63"/>
      <c r="L401" s="62"/>
      <c r="M401" s="64"/>
      <c r="N401" s="102"/>
      <c r="O401" s="67"/>
      <c r="P401" s="68"/>
      <c r="Q401" s="68"/>
    </row>
    <row r="402" hidden="1">
      <c r="A402" s="104"/>
      <c r="B402" s="89"/>
      <c r="C402" s="97"/>
      <c r="D402" s="96"/>
      <c r="E402" s="98"/>
      <c r="F402" s="59"/>
      <c r="G402" s="59"/>
      <c r="H402" s="60"/>
      <c r="I402" s="61"/>
      <c r="J402" s="62"/>
      <c r="K402" s="63"/>
      <c r="L402" s="62"/>
      <c r="M402" s="64"/>
      <c r="N402" s="102"/>
      <c r="O402" s="67"/>
      <c r="P402" s="68"/>
      <c r="Q402" s="68"/>
    </row>
    <row r="403" hidden="1">
      <c r="A403" s="104"/>
      <c r="B403" s="89"/>
      <c r="C403" s="97"/>
      <c r="D403" s="96"/>
      <c r="E403" s="98"/>
      <c r="F403" s="59"/>
      <c r="G403" s="59"/>
      <c r="H403" s="60"/>
      <c r="I403" s="61"/>
      <c r="J403" s="62"/>
      <c r="K403" s="63"/>
      <c r="L403" s="62"/>
      <c r="M403" s="64"/>
      <c r="N403" s="102"/>
      <c r="O403" s="67"/>
      <c r="P403" s="68"/>
      <c r="Q403" s="68"/>
    </row>
    <row r="404" hidden="1">
      <c r="A404" s="104"/>
      <c r="B404" s="89"/>
      <c r="C404" s="97"/>
      <c r="D404" s="96"/>
      <c r="E404" s="98"/>
      <c r="F404" s="59"/>
      <c r="G404" s="59"/>
      <c r="H404" s="60"/>
      <c r="I404" s="61"/>
      <c r="J404" s="62"/>
      <c r="K404" s="63"/>
      <c r="L404" s="62"/>
      <c r="M404" s="64"/>
      <c r="N404" s="102"/>
      <c r="O404" s="67"/>
      <c r="P404" s="68"/>
      <c r="Q404" s="68"/>
    </row>
    <row r="405" hidden="1">
      <c r="A405" s="104"/>
      <c r="B405" s="89"/>
      <c r="C405" s="97"/>
      <c r="D405" s="96"/>
      <c r="E405" s="98"/>
      <c r="F405" s="59"/>
      <c r="G405" s="59"/>
      <c r="H405" s="60"/>
      <c r="I405" s="61"/>
      <c r="J405" s="62"/>
      <c r="K405" s="63"/>
      <c r="L405" s="62"/>
      <c r="M405" s="64"/>
      <c r="N405" s="102"/>
      <c r="O405" s="67"/>
      <c r="P405" s="68"/>
      <c r="Q405" s="68"/>
    </row>
    <row r="406" hidden="1">
      <c r="A406" s="104"/>
      <c r="B406" s="89"/>
      <c r="C406" s="97"/>
      <c r="D406" s="96"/>
      <c r="E406" s="98"/>
      <c r="F406" s="59"/>
      <c r="G406" s="59"/>
      <c r="H406" s="60"/>
      <c r="I406" s="61"/>
      <c r="J406" s="62"/>
      <c r="K406" s="63"/>
      <c r="L406" s="62"/>
      <c r="M406" s="64"/>
      <c r="N406" s="102"/>
      <c r="O406" s="67"/>
      <c r="P406" s="68"/>
      <c r="Q406" s="68"/>
    </row>
    <row r="407" hidden="1">
      <c r="A407" s="104"/>
      <c r="B407" s="89"/>
      <c r="C407" s="97"/>
      <c r="D407" s="96"/>
      <c r="E407" s="98"/>
      <c r="F407" s="59"/>
      <c r="G407" s="59"/>
      <c r="H407" s="60"/>
      <c r="I407" s="61"/>
      <c r="J407" s="62"/>
      <c r="K407" s="63"/>
      <c r="L407" s="62"/>
      <c r="M407" s="64"/>
      <c r="N407" s="102"/>
      <c r="O407" s="67"/>
      <c r="P407" s="68"/>
      <c r="Q407" s="68"/>
    </row>
    <row r="408" hidden="1">
      <c r="A408" s="104"/>
      <c r="B408" s="89"/>
      <c r="C408" s="97"/>
      <c r="D408" s="96"/>
      <c r="E408" s="98"/>
      <c r="F408" s="59"/>
      <c r="G408" s="59"/>
      <c r="H408" s="60"/>
      <c r="I408" s="61"/>
      <c r="J408" s="62"/>
      <c r="K408" s="63"/>
      <c r="L408" s="62"/>
      <c r="M408" s="64"/>
      <c r="N408" s="102"/>
      <c r="O408" s="67"/>
      <c r="P408" s="68"/>
      <c r="Q408" s="68"/>
    </row>
    <row r="409" hidden="1">
      <c r="A409" s="104"/>
      <c r="B409" s="89"/>
      <c r="C409" s="97"/>
      <c r="D409" s="96"/>
      <c r="E409" s="98"/>
      <c r="F409" s="59"/>
      <c r="G409" s="59"/>
      <c r="H409" s="60"/>
      <c r="I409" s="61"/>
      <c r="J409" s="62"/>
      <c r="K409" s="63"/>
      <c r="L409" s="62"/>
      <c r="M409" s="64"/>
      <c r="N409" s="102"/>
      <c r="O409" s="67"/>
      <c r="P409" s="68"/>
      <c r="Q409" s="68"/>
    </row>
    <row r="410" hidden="1">
      <c r="A410" s="104"/>
      <c r="B410" s="89"/>
      <c r="C410" s="97"/>
      <c r="D410" s="96"/>
      <c r="E410" s="98"/>
      <c r="F410" s="59"/>
      <c r="G410" s="59"/>
      <c r="H410" s="60"/>
      <c r="I410" s="61"/>
      <c r="J410" s="62"/>
      <c r="K410" s="63"/>
      <c r="L410" s="62"/>
      <c r="M410" s="64"/>
      <c r="N410" s="102"/>
      <c r="O410" s="67"/>
      <c r="P410" s="68"/>
      <c r="Q410" s="68"/>
    </row>
    <row r="411" hidden="1">
      <c r="A411" s="104"/>
      <c r="B411" s="89"/>
      <c r="C411" s="97"/>
      <c r="D411" s="96"/>
      <c r="E411" s="98"/>
      <c r="F411" s="59"/>
      <c r="G411" s="59"/>
      <c r="H411" s="60"/>
      <c r="I411" s="61"/>
      <c r="J411" s="62"/>
      <c r="K411" s="63"/>
      <c r="L411" s="62"/>
      <c r="M411" s="64"/>
      <c r="N411" s="102"/>
      <c r="O411" s="67"/>
      <c r="P411" s="68"/>
      <c r="Q411" s="68"/>
    </row>
    <row r="412" hidden="1">
      <c r="A412" s="106"/>
      <c r="B412" s="82"/>
      <c r="C412" s="106"/>
      <c r="D412" s="82"/>
      <c r="E412" s="83"/>
      <c r="F412" s="167"/>
      <c r="G412" s="167"/>
      <c r="H412" s="140"/>
      <c r="I412" s="87"/>
      <c r="J412" s="99"/>
      <c r="K412" s="63"/>
      <c r="L412" s="99"/>
      <c r="M412" s="64"/>
      <c r="N412" s="65"/>
      <c r="O412" s="67"/>
      <c r="P412" s="68"/>
      <c r="Q412" s="68"/>
    </row>
    <row r="413" hidden="1">
      <c r="A413" s="106"/>
      <c r="B413" s="82"/>
      <c r="C413" s="97"/>
      <c r="D413" s="96"/>
      <c r="E413" s="98"/>
      <c r="F413" s="59"/>
      <c r="G413" s="59"/>
      <c r="H413" s="60"/>
      <c r="I413" s="61"/>
      <c r="J413" s="62"/>
      <c r="K413" s="63"/>
      <c r="L413" s="62"/>
      <c r="M413" s="64"/>
      <c r="N413" s="102"/>
      <c r="O413" s="67"/>
      <c r="P413" s="68"/>
      <c r="Q413" s="68"/>
    </row>
    <row r="414" hidden="1">
      <c r="A414" s="106"/>
      <c r="B414" s="82"/>
      <c r="C414" s="97"/>
      <c r="D414" s="96"/>
      <c r="E414" s="98"/>
      <c r="F414" s="59"/>
      <c r="G414" s="59"/>
      <c r="H414" s="60"/>
      <c r="I414" s="61"/>
      <c r="J414" s="62"/>
      <c r="K414" s="63"/>
      <c r="L414" s="62"/>
      <c r="M414" s="64"/>
      <c r="N414" s="102"/>
      <c r="O414" s="67"/>
      <c r="P414" s="68"/>
      <c r="Q414" s="68"/>
    </row>
    <row r="415" hidden="1">
      <c r="A415" s="106"/>
      <c r="B415" s="82"/>
      <c r="C415" s="97"/>
      <c r="D415" s="96"/>
      <c r="E415" s="98"/>
      <c r="F415" s="59"/>
      <c r="G415" s="59"/>
      <c r="H415" s="60"/>
      <c r="I415" s="61"/>
      <c r="J415" s="62"/>
      <c r="K415" s="63"/>
      <c r="L415" s="62"/>
      <c r="M415" s="64"/>
      <c r="N415" s="102"/>
      <c r="O415" s="67"/>
      <c r="P415" s="68"/>
      <c r="Q415" s="68"/>
    </row>
    <row r="416" hidden="1">
      <c r="A416" s="106"/>
      <c r="B416" s="82"/>
      <c r="C416" s="97"/>
      <c r="D416" s="96"/>
      <c r="E416" s="98"/>
      <c r="F416" s="59"/>
      <c r="G416" s="59"/>
      <c r="H416" s="60"/>
      <c r="I416" s="61"/>
      <c r="J416" s="62"/>
      <c r="K416" s="63"/>
      <c r="L416" s="62"/>
      <c r="M416" s="64"/>
      <c r="N416" s="102"/>
      <c r="O416" s="67"/>
      <c r="P416" s="68"/>
      <c r="Q416" s="68"/>
    </row>
    <row r="417" hidden="1">
      <c r="A417" s="106"/>
      <c r="B417" s="82"/>
      <c r="C417" s="97"/>
      <c r="D417" s="96"/>
      <c r="E417" s="98"/>
      <c r="F417" s="59"/>
      <c r="G417" s="59"/>
      <c r="H417" s="60"/>
      <c r="I417" s="61"/>
      <c r="J417" s="62"/>
      <c r="K417" s="63"/>
      <c r="L417" s="62"/>
      <c r="M417" s="64"/>
      <c r="N417" s="102"/>
      <c r="O417" s="67"/>
      <c r="P417" s="68"/>
      <c r="Q417" s="68"/>
    </row>
    <row r="418" hidden="1">
      <c r="A418" s="106"/>
      <c r="B418" s="82"/>
      <c r="C418" s="97"/>
      <c r="D418" s="96"/>
      <c r="E418" s="98"/>
      <c r="F418" s="59"/>
      <c r="G418" s="59"/>
      <c r="H418" s="60"/>
      <c r="I418" s="61"/>
      <c r="J418" s="62"/>
      <c r="K418" s="63"/>
      <c r="L418" s="62"/>
      <c r="M418" s="64"/>
      <c r="N418" s="102"/>
      <c r="O418" s="67"/>
      <c r="P418" s="68"/>
      <c r="Q418" s="68"/>
    </row>
    <row r="419" hidden="1">
      <c r="A419" s="106"/>
      <c r="B419" s="82"/>
      <c r="C419" s="97"/>
      <c r="D419" s="96"/>
      <c r="E419" s="98"/>
      <c r="F419" s="59"/>
      <c r="G419" s="59"/>
      <c r="H419" s="60"/>
      <c r="I419" s="61"/>
      <c r="J419" s="62"/>
      <c r="K419" s="63"/>
      <c r="L419" s="62"/>
      <c r="M419" s="64"/>
      <c r="N419" s="102"/>
      <c r="O419" s="67"/>
      <c r="P419" s="68"/>
      <c r="Q419" s="68"/>
    </row>
    <row r="420" hidden="1">
      <c r="A420" s="106"/>
      <c r="B420" s="82"/>
      <c r="C420" s="97"/>
      <c r="D420" s="96"/>
      <c r="E420" s="98"/>
      <c r="F420" s="59"/>
      <c r="G420" s="59"/>
      <c r="H420" s="60"/>
      <c r="I420" s="61"/>
      <c r="J420" s="62"/>
      <c r="K420" s="63"/>
      <c r="L420" s="62"/>
      <c r="M420" s="64"/>
      <c r="N420" s="102"/>
      <c r="O420" s="67"/>
      <c r="P420" s="68"/>
      <c r="Q420" s="68"/>
    </row>
    <row r="421" hidden="1">
      <c r="A421" s="106"/>
      <c r="B421" s="82"/>
      <c r="C421" s="97"/>
      <c r="D421" s="96"/>
      <c r="E421" s="98"/>
      <c r="F421" s="59"/>
      <c r="G421" s="59"/>
      <c r="H421" s="60"/>
      <c r="I421" s="61"/>
      <c r="J421" s="62"/>
      <c r="K421" s="63"/>
      <c r="L421" s="62"/>
      <c r="M421" s="64"/>
      <c r="N421" s="102"/>
      <c r="O421" s="67"/>
      <c r="P421" s="68"/>
      <c r="Q421" s="68"/>
    </row>
    <row r="422" hidden="1">
      <c r="A422" s="106"/>
      <c r="B422" s="82"/>
      <c r="C422" s="97"/>
      <c r="D422" s="96"/>
      <c r="E422" s="98"/>
      <c r="F422" s="59"/>
      <c r="G422" s="59"/>
      <c r="H422" s="60"/>
      <c r="I422" s="61"/>
      <c r="J422" s="62"/>
      <c r="K422" s="63"/>
      <c r="L422" s="62"/>
      <c r="M422" s="64"/>
      <c r="N422" s="102"/>
      <c r="O422" s="67"/>
      <c r="P422" s="68"/>
      <c r="Q422" s="68"/>
    </row>
    <row r="423" hidden="1">
      <c r="A423" s="106"/>
      <c r="B423" s="82"/>
      <c r="C423" s="97"/>
      <c r="D423" s="96"/>
      <c r="E423" s="98"/>
      <c r="F423" s="59"/>
      <c r="G423" s="59"/>
      <c r="H423" s="60"/>
      <c r="I423" s="61"/>
      <c r="J423" s="62"/>
      <c r="K423" s="63"/>
      <c r="L423" s="62"/>
      <c r="M423" s="64"/>
      <c r="N423" s="102"/>
      <c r="O423" s="67"/>
      <c r="P423" s="68"/>
      <c r="Q423" s="68"/>
    </row>
    <row r="424" hidden="1">
      <c r="A424" s="106"/>
      <c r="B424" s="82"/>
      <c r="C424" s="97"/>
      <c r="D424" s="96"/>
      <c r="E424" s="98"/>
      <c r="F424" s="59"/>
      <c r="G424" s="59"/>
      <c r="H424" s="60"/>
      <c r="I424" s="61"/>
      <c r="J424" s="62"/>
      <c r="K424" s="63"/>
      <c r="L424" s="62"/>
      <c r="M424" s="64"/>
      <c r="N424" s="102"/>
      <c r="O424" s="67"/>
      <c r="P424" s="68"/>
      <c r="Q424" s="68"/>
    </row>
    <row r="425" hidden="1">
      <c r="A425" s="106"/>
      <c r="B425" s="82"/>
      <c r="C425" s="97"/>
      <c r="D425" s="96"/>
      <c r="E425" s="98"/>
      <c r="F425" s="59"/>
      <c r="G425" s="59"/>
      <c r="H425" s="60"/>
      <c r="I425" s="61"/>
      <c r="J425" s="62"/>
      <c r="K425" s="63"/>
      <c r="L425" s="62"/>
      <c r="M425" s="64"/>
      <c r="N425" s="102"/>
      <c r="O425" s="67"/>
      <c r="P425" s="68"/>
      <c r="Q425" s="68"/>
    </row>
    <row r="426" hidden="1">
      <c r="A426" s="106"/>
      <c r="B426" s="82"/>
      <c r="C426" s="97"/>
      <c r="D426" s="96"/>
      <c r="E426" s="98"/>
      <c r="F426" s="59"/>
      <c r="G426" s="59"/>
      <c r="H426" s="60"/>
      <c r="I426" s="61"/>
      <c r="J426" s="62"/>
      <c r="K426" s="63"/>
      <c r="L426" s="62"/>
      <c r="M426" s="64"/>
      <c r="N426" s="102"/>
      <c r="O426" s="67"/>
      <c r="P426" s="68"/>
      <c r="Q426" s="68"/>
    </row>
    <row r="427" hidden="1">
      <c r="A427" s="106"/>
      <c r="B427" s="82"/>
      <c r="C427" s="97"/>
      <c r="D427" s="96"/>
      <c r="E427" s="98"/>
      <c r="F427" s="59"/>
      <c r="G427" s="59"/>
      <c r="H427" s="60"/>
      <c r="I427" s="61"/>
      <c r="J427" s="62"/>
      <c r="K427" s="63"/>
      <c r="L427" s="62"/>
      <c r="M427" s="64"/>
      <c r="N427" s="102"/>
      <c r="O427" s="67"/>
      <c r="P427" s="68"/>
      <c r="Q427" s="68"/>
    </row>
    <row r="428" hidden="1">
      <c r="A428" s="106"/>
      <c r="B428" s="82"/>
      <c r="C428" s="97"/>
      <c r="D428" s="96"/>
      <c r="E428" s="98"/>
      <c r="F428" s="59"/>
      <c r="G428" s="59"/>
      <c r="H428" s="60"/>
      <c r="I428" s="61"/>
      <c r="J428" s="62"/>
      <c r="K428" s="63"/>
      <c r="L428" s="62"/>
      <c r="M428" s="64"/>
      <c r="N428" s="102"/>
      <c r="O428" s="67"/>
      <c r="P428" s="68"/>
      <c r="Q428" s="68"/>
    </row>
    <row r="429" hidden="1">
      <c r="A429" s="106"/>
      <c r="B429" s="82"/>
      <c r="C429" s="97"/>
      <c r="D429" s="96"/>
      <c r="E429" s="98"/>
      <c r="F429" s="59"/>
      <c r="G429" s="59"/>
      <c r="H429" s="60"/>
      <c r="I429" s="61"/>
      <c r="J429" s="62"/>
      <c r="K429" s="63"/>
      <c r="L429" s="62"/>
      <c r="M429" s="64"/>
      <c r="N429" s="102"/>
      <c r="O429" s="67"/>
      <c r="P429" s="68"/>
      <c r="Q429" s="68"/>
    </row>
    <row r="430" hidden="1">
      <c r="A430" s="106"/>
      <c r="B430" s="82"/>
      <c r="C430" s="97"/>
      <c r="D430" s="96"/>
      <c r="E430" s="98"/>
      <c r="F430" s="59"/>
      <c r="G430" s="59"/>
      <c r="H430" s="60"/>
      <c r="I430" s="61"/>
      <c r="J430" s="62"/>
      <c r="K430" s="63"/>
      <c r="L430" s="62"/>
      <c r="M430" s="64"/>
      <c r="N430" s="102"/>
      <c r="O430" s="67"/>
      <c r="P430" s="68"/>
      <c r="Q430" s="68"/>
    </row>
    <row r="431" hidden="1">
      <c r="A431" s="106"/>
      <c r="B431" s="82"/>
      <c r="C431" s="97"/>
      <c r="D431" s="96"/>
      <c r="E431" s="98"/>
      <c r="F431" s="59"/>
      <c r="G431" s="59"/>
      <c r="H431" s="60"/>
      <c r="I431" s="61"/>
      <c r="J431" s="62"/>
      <c r="K431" s="63"/>
      <c r="L431" s="62"/>
      <c r="M431" s="64"/>
      <c r="N431" s="102"/>
      <c r="O431" s="67"/>
      <c r="P431" s="68"/>
      <c r="Q431" s="68"/>
    </row>
    <row r="432" hidden="1">
      <c r="A432" s="106"/>
      <c r="B432" s="82"/>
      <c r="C432" s="97"/>
      <c r="D432" s="96"/>
      <c r="E432" s="98"/>
      <c r="F432" s="59"/>
      <c r="G432" s="59"/>
      <c r="H432" s="60"/>
      <c r="I432" s="61"/>
      <c r="J432" s="62"/>
      <c r="K432" s="63"/>
      <c r="L432" s="62"/>
      <c r="M432" s="64"/>
      <c r="N432" s="102"/>
      <c r="O432" s="67"/>
      <c r="P432" s="68"/>
      <c r="Q432" s="68"/>
    </row>
    <row r="433" hidden="1">
      <c r="A433" s="106"/>
      <c r="B433" s="82"/>
      <c r="C433" s="97"/>
      <c r="D433" s="96"/>
      <c r="E433" s="98"/>
      <c r="F433" s="59"/>
      <c r="G433" s="59"/>
      <c r="H433" s="60"/>
      <c r="I433" s="61"/>
      <c r="J433" s="62"/>
      <c r="K433" s="63"/>
      <c r="L433" s="62"/>
      <c r="M433" s="64"/>
      <c r="N433" s="102"/>
      <c r="O433" s="67"/>
      <c r="P433" s="68"/>
      <c r="Q433" s="68"/>
    </row>
    <row r="434" hidden="1">
      <c r="A434" s="106"/>
      <c r="B434" s="82"/>
      <c r="C434" s="97"/>
      <c r="D434" s="96"/>
      <c r="E434" s="98"/>
      <c r="F434" s="59"/>
      <c r="G434" s="59"/>
      <c r="H434" s="60"/>
      <c r="I434" s="61"/>
      <c r="J434" s="62"/>
      <c r="K434" s="63"/>
      <c r="L434" s="62"/>
      <c r="M434" s="64"/>
      <c r="N434" s="102"/>
      <c r="O434" s="67"/>
      <c r="P434" s="68"/>
      <c r="Q434" s="68"/>
    </row>
    <row r="435" hidden="1">
      <c r="A435" s="106"/>
      <c r="B435" s="82"/>
      <c r="C435" s="97"/>
      <c r="D435" s="96"/>
      <c r="E435" s="98"/>
      <c r="F435" s="59"/>
      <c r="G435" s="59"/>
      <c r="H435" s="60"/>
      <c r="I435" s="61"/>
      <c r="J435" s="62"/>
      <c r="K435" s="63"/>
      <c r="L435" s="62"/>
      <c r="M435" s="64"/>
      <c r="N435" s="102"/>
      <c r="O435" s="67"/>
      <c r="P435" s="68"/>
      <c r="Q435" s="68"/>
    </row>
    <row r="436" hidden="1">
      <c r="A436" s="106"/>
      <c r="B436" s="82"/>
      <c r="C436" s="97"/>
      <c r="D436" s="96"/>
      <c r="E436" s="98"/>
      <c r="F436" s="59"/>
      <c r="G436" s="59"/>
      <c r="H436" s="60"/>
      <c r="I436" s="61"/>
      <c r="J436" s="62"/>
      <c r="K436" s="63"/>
      <c r="L436" s="62"/>
      <c r="M436" s="64"/>
      <c r="N436" s="102"/>
      <c r="O436" s="67"/>
      <c r="P436" s="68"/>
      <c r="Q436" s="68"/>
    </row>
    <row r="437" hidden="1">
      <c r="A437" s="106"/>
      <c r="B437" s="82"/>
      <c r="C437" s="97"/>
      <c r="D437" s="96"/>
      <c r="E437" s="98"/>
      <c r="F437" s="59"/>
      <c r="G437" s="59"/>
      <c r="H437" s="60"/>
      <c r="I437" s="61"/>
      <c r="J437" s="62"/>
      <c r="K437" s="63"/>
      <c r="L437" s="62"/>
      <c r="M437" s="64"/>
      <c r="N437" s="102"/>
      <c r="O437" s="67"/>
      <c r="P437" s="68"/>
      <c r="Q437" s="68"/>
    </row>
    <row r="438" hidden="1">
      <c r="A438" s="106"/>
      <c r="B438" s="82"/>
      <c r="C438" s="97"/>
      <c r="D438" s="96"/>
      <c r="E438" s="98"/>
      <c r="F438" s="59"/>
      <c r="G438" s="59"/>
      <c r="H438" s="60"/>
      <c r="I438" s="61"/>
      <c r="J438" s="62"/>
      <c r="K438" s="63"/>
      <c r="L438" s="62"/>
      <c r="M438" s="64"/>
      <c r="N438" s="102"/>
      <c r="O438" s="67"/>
      <c r="P438" s="68"/>
      <c r="Q438" s="68"/>
    </row>
    <row r="439" hidden="1">
      <c r="A439" s="106"/>
      <c r="B439" s="82"/>
      <c r="C439" s="97"/>
      <c r="D439" s="96"/>
      <c r="E439" s="98"/>
      <c r="F439" s="59"/>
      <c r="G439" s="59"/>
      <c r="H439" s="60"/>
      <c r="I439" s="61"/>
      <c r="J439" s="62"/>
      <c r="K439" s="63"/>
      <c r="L439" s="62"/>
      <c r="M439" s="64"/>
      <c r="N439" s="102"/>
      <c r="O439" s="67"/>
      <c r="P439" s="68"/>
      <c r="Q439" s="68"/>
    </row>
    <row r="440" hidden="1">
      <c r="A440" s="106"/>
      <c r="B440" s="82"/>
      <c r="C440" s="97"/>
      <c r="D440" s="96"/>
      <c r="E440" s="98"/>
      <c r="F440" s="59"/>
      <c r="G440" s="59"/>
      <c r="H440" s="60"/>
      <c r="I440" s="61"/>
      <c r="J440" s="62"/>
      <c r="K440" s="63"/>
      <c r="L440" s="62"/>
      <c r="M440" s="64"/>
      <c r="N440" s="102"/>
      <c r="O440" s="67"/>
      <c r="P440" s="68"/>
      <c r="Q440" s="68"/>
    </row>
    <row r="441" hidden="1">
      <c r="A441" s="106"/>
      <c r="B441" s="82"/>
      <c r="C441" s="97"/>
      <c r="D441" s="96"/>
      <c r="E441" s="98"/>
      <c r="F441" s="59"/>
      <c r="G441" s="59"/>
      <c r="H441" s="60"/>
      <c r="I441" s="61"/>
      <c r="J441" s="62"/>
      <c r="K441" s="63"/>
      <c r="L441" s="62"/>
      <c r="M441" s="64"/>
      <c r="N441" s="102"/>
      <c r="O441" s="67"/>
      <c r="P441" s="68"/>
      <c r="Q441" s="68"/>
    </row>
    <row r="442" hidden="1">
      <c r="A442" s="106"/>
      <c r="B442" s="82"/>
      <c r="C442" s="97"/>
      <c r="D442" s="96"/>
      <c r="E442" s="98"/>
      <c r="F442" s="59"/>
      <c r="G442" s="59"/>
      <c r="H442" s="60"/>
      <c r="I442" s="61"/>
      <c r="J442" s="62"/>
      <c r="K442" s="63"/>
      <c r="L442" s="62"/>
      <c r="M442" s="64"/>
      <c r="N442" s="102"/>
      <c r="O442" s="67"/>
      <c r="P442" s="68"/>
      <c r="Q442" s="68"/>
    </row>
    <row r="443" hidden="1">
      <c r="A443" s="106"/>
      <c r="B443" s="82"/>
      <c r="C443" s="97"/>
      <c r="D443" s="96"/>
      <c r="E443" s="98"/>
      <c r="F443" s="59"/>
      <c r="G443" s="59"/>
      <c r="H443" s="60"/>
      <c r="I443" s="61"/>
      <c r="J443" s="62"/>
      <c r="K443" s="63"/>
      <c r="L443" s="62"/>
      <c r="M443" s="64"/>
      <c r="N443" s="102"/>
      <c r="O443" s="67"/>
      <c r="P443" s="68"/>
      <c r="Q443" s="68"/>
    </row>
    <row r="444" hidden="1">
      <c r="A444" s="106"/>
      <c r="B444" s="82"/>
      <c r="C444" s="97"/>
      <c r="D444" s="96"/>
      <c r="E444" s="98"/>
      <c r="F444" s="59"/>
      <c r="G444" s="59"/>
      <c r="H444" s="60"/>
      <c r="I444" s="61"/>
      <c r="J444" s="62"/>
      <c r="K444" s="63"/>
      <c r="L444" s="62"/>
      <c r="M444" s="64"/>
      <c r="N444" s="102"/>
      <c r="O444" s="67"/>
      <c r="P444" s="68"/>
      <c r="Q444" s="68"/>
    </row>
    <row r="445" hidden="1">
      <c r="A445" s="106"/>
      <c r="B445" s="82"/>
      <c r="C445" s="97"/>
      <c r="D445" s="96"/>
      <c r="E445" s="98"/>
      <c r="F445" s="59"/>
      <c r="G445" s="59"/>
      <c r="H445" s="60"/>
      <c r="I445" s="61"/>
      <c r="J445" s="62"/>
      <c r="K445" s="63"/>
      <c r="L445" s="62"/>
      <c r="M445" s="64"/>
      <c r="N445" s="102"/>
      <c r="O445" s="67"/>
      <c r="P445" s="68"/>
      <c r="Q445" s="68"/>
    </row>
    <row r="446" hidden="1">
      <c r="A446" s="106"/>
      <c r="B446" s="82"/>
      <c r="C446" s="97"/>
      <c r="D446" s="96"/>
      <c r="E446" s="98"/>
      <c r="F446" s="59"/>
      <c r="G446" s="59"/>
      <c r="H446" s="60"/>
      <c r="I446" s="61"/>
      <c r="J446" s="62"/>
      <c r="K446" s="63"/>
      <c r="L446" s="62"/>
      <c r="M446" s="64"/>
      <c r="N446" s="102"/>
      <c r="O446" s="67"/>
      <c r="P446" s="68"/>
      <c r="Q446" s="68"/>
    </row>
    <row r="447" hidden="1">
      <c r="A447" s="106"/>
      <c r="B447" s="82"/>
      <c r="C447" s="97"/>
      <c r="D447" s="96"/>
      <c r="E447" s="98"/>
      <c r="F447" s="59"/>
      <c r="G447" s="59"/>
      <c r="H447" s="60"/>
      <c r="I447" s="61"/>
      <c r="J447" s="62"/>
      <c r="K447" s="63"/>
      <c r="L447" s="62"/>
      <c r="M447" s="64"/>
      <c r="N447" s="102"/>
      <c r="O447" s="67"/>
      <c r="P447" s="68"/>
      <c r="Q447" s="68"/>
    </row>
    <row r="448" hidden="1">
      <c r="A448" s="106"/>
      <c r="B448" s="82"/>
      <c r="C448" s="97"/>
      <c r="D448" s="96"/>
      <c r="E448" s="98"/>
      <c r="F448" s="59"/>
      <c r="G448" s="59"/>
      <c r="H448" s="60"/>
      <c r="I448" s="61"/>
      <c r="J448" s="62"/>
      <c r="K448" s="63"/>
      <c r="L448" s="62"/>
      <c r="M448" s="64"/>
      <c r="N448" s="102"/>
      <c r="O448" s="67"/>
      <c r="P448" s="68"/>
      <c r="Q448" s="68"/>
    </row>
    <row r="449" hidden="1">
      <c r="A449" s="106"/>
      <c r="B449" s="82"/>
      <c r="C449" s="97"/>
      <c r="D449" s="96"/>
      <c r="E449" s="98"/>
      <c r="F449" s="59"/>
      <c r="G449" s="59"/>
      <c r="H449" s="60"/>
      <c r="I449" s="61"/>
      <c r="J449" s="62"/>
      <c r="K449" s="63"/>
      <c r="L449" s="62"/>
      <c r="M449" s="64"/>
      <c r="N449" s="102"/>
      <c r="O449" s="67"/>
      <c r="P449" s="68"/>
      <c r="Q449" s="68"/>
    </row>
    <row r="450">
      <c r="D450" s="168"/>
      <c r="H450" s="169"/>
      <c r="I450" s="169"/>
    </row>
    <row r="451">
      <c r="D451" s="168"/>
      <c r="H451" s="169"/>
      <c r="I451" s="169"/>
    </row>
    <row r="452">
      <c r="D452" s="168"/>
      <c r="H452" s="169"/>
      <c r="I452" s="169"/>
    </row>
    <row r="453">
      <c r="D453" s="168"/>
      <c r="H453" s="169"/>
      <c r="I453" s="169"/>
    </row>
    <row r="454">
      <c r="D454" s="168"/>
      <c r="H454" s="169"/>
      <c r="I454" s="169"/>
    </row>
    <row r="455">
      <c r="D455" s="168"/>
      <c r="H455" s="169"/>
      <c r="I455" s="169"/>
    </row>
    <row r="456">
      <c r="D456" s="168"/>
      <c r="H456" s="169"/>
      <c r="I456" s="169"/>
    </row>
    <row r="457">
      <c r="D457" s="168"/>
      <c r="H457" s="169"/>
      <c r="I457" s="169"/>
    </row>
    <row r="458">
      <c r="D458" s="168"/>
      <c r="H458" s="169"/>
      <c r="I458" s="169"/>
    </row>
    <row r="459">
      <c r="D459" s="168"/>
      <c r="H459" s="169"/>
      <c r="I459" s="169"/>
    </row>
    <row r="460">
      <c r="D460" s="168"/>
      <c r="H460" s="169"/>
      <c r="I460" s="169"/>
    </row>
    <row r="461">
      <c r="D461" s="168"/>
      <c r="H461" s="169"/>
      <c r="I461" s="169"/>
    </row>
    <row r="462">
      <c r="D462" s="168"/>
      <c r="H462" s="169"/>
      <c r="I462" s="169"/>
    </row>
    <row r="463">
      <c r="D463" s="168"/>
      <c r="H463" s="169"/>
      <c r="I463" s="169"/>
    </row>
    <row r="464">
      <c r="D464" s="168"/>
      <c r="H464" s="169"/>
      <c r="I464" s="169"/>
    </row>
    <row r="465">
      <c r="D465" s="168"/>
      <c r="H465" s="169"/>
      <c r="I465" s="169"/>
    </row>
    <row r="466">
      <c r="D466" s="168"/>
      <c r="H466" s="169"/>
      <c r="I466" s="169"/>
    </row>
    <row r="467">
      <c r="D467" s="168"/>
      <c r="H467" s="169"/>
      <c r="I467" s="169"/>
    </row>
    <row r="468">
      <c r="D468" s="168"/>
      <c r="H468" s="169"/>
      <c r="I468" s="169"/>
    </row>
    <row r="469">
      <c r="D469" s="168"/>
      <c r="H469" s="169"/>
      <c r="I469" s="169"/>
    </row>
    <row r="470">
      <c r="D470" s="168"/>
      <c r="H470" s="169"/>
      <c r="I470" s="169"/>
    </row>
    <row r="471">
      <c r="D471" s="168"/>
      <c r="H471" s="169"/>
      <c r="I471" s="169"/>
    </row>
    <row r="472">
      <c r="D472" s="168"/>
      <c r="H472" s="169"/>
      <c r="I472" s="169"/>
    </row>
    <row r="473">
      <c r="D473" s="168"/>
      <c r="H473" s="169"/>
      <c r="I473" s="169"/>
    </row>
    <row r="474">
      <c r="D474" s="168"/>
      <c r="H474" s="169"/>
      <c r="I474" s="169"/>
    </row>
    <row r="475">
      <c r="D475" s="168"/>
      <c r="H475" s="169"/>
      <c r="I475" s="169"/>
    </row>
    <row r="476">
      <c r="D476" s="168"/>
      <c r="H476" s="169"/>
      <c r="I476" s="169"/>
    </row>
    <row r="477">
      <c r="D477" s="168"/>
      <c r="H477" s="169"/>
      <c r="I477" s="169"/>
    </row>
    <row r="478">
      <c r="D478" s="168"/>
      <c r="H478" s="169"/>
      <c r="I478" s="169"/>
    </row>
    <row r="479">
      <c r="D479" s="168"/>
      <c r="H479" s="169"/>
      <c r="I479" s="169"/>
    </row>
    <row r="480">
      <c r="D480" s="168"/>
      <c r="H480" s="169"/>
      <c r="I480" s="169"/>
    </row>
    <row r="481">
      <c r="D481" s="168"/>
      <c r="H481" s="169"/>
      <c r="I481" s="169"/>
    </row>
    <row r="482">
      <c r="D482" s="168"/>
      <c r="H482" s="169"/>
      <c r="I482" s="169"/>
    </row>
    <row r="483">
      <c r="D483" s="168"/>
      <c r="H483" s="169"/>
      <c r="I483" s="169"/>
    </row>
    <row r="484">
      <c r="D484" s="168"/>
      <c r="H484" s="169"/>
      <c r="I484" s="169"/>
    </row>
    <row r="485">
      <c r="D485" s="168"/>
      <c r="H485" s="169"/>
      <c r="I485" s="169"/>
    </row>
    <row r="486">
      <c r="D486" s="168"/>
      <c r="H486" s="169"/>
      <c r="I486" s="169"/>
    </row>
    <row r="487">
      <c r="D487" s="168"/>
      <c r="H487" s="169"/>
      <c r="I487" s="169"/>
    </row>
    <row r="488">
      <c r="D488" s="168"/>
      <c r="H488" s="169"/>
      <c r="I488" s="169"/>
    </row>
    <row r="489">
      <c r="D489" s="168"/>
      <c r="H489" s="169"/>
      <c r="I489" s="169"/>
    </row>
    <row r="490">
      <c r="D490" s="168"/>
      <c r="H490" s="169"/>
      <c r="I490" s="169"/>
    </row>
    <row r="491">
      <c r="D491" s="168"/>
      <c r="H491" s="169"/>
      <c r="I491" s="169"/>
    </row>
    <row r="492">
      <c r="D492" s="168"/>
      <c r="H492" s="169"/>
      <c r="I492" s="169"/>
    </row>
    <row r="493">
      <c r="D493" s="168"/>
      <c r="H493" s="169"/>
      <c r="I493" s="169"/>
    </row>
    <row r="494">
      <c r="D494" s="168"/>
      <c r="H494" s="169"/>
      <c r="I494" s="169"/>
    </row>
    <row r="495">
      <c r="D495" s="168"/>
      <c r="H495" s="169"/>
      <c r="I495" s="169"/>
    </row>
    <row r="496">
      <c r="D496" s="168"/>
      <c r="H496" s="169"/>
      <c r="I496" s="169"/>
    </row>
    <row r="497">
      <c r="D497" s="168"/>
      <c r="H497" s="169"/>
      <c r="I497" s="169"/>
    </row>
    <row r="498">
      <c r="D498" s="168"/>
      <c r="H498" s="169"/>
      <c r="I498" s="169"/>
    </row>
    <row r="499">
      <c r="D499" s="168"/>
      <c r="H499" s="169"/>
      <c r="I499" s="169"/>
    </row>
    <row r="500">
      <c r="D500" s="168"/>
      <c r="H500" s="169"/>
      <c r="I500" s="169"/>
    </row>
    <row r="501">
      <c r="D501" s="168"/>
      <c r="H501" s="169"/>
      <c r="I501" s="169"/>
    </row>
    <row r="502">
      <c r="D502" s="168"/>
      <c r="H502" s="169"/>
      <c r="I502" s="169"/>
    </row>
    <row r="503">
      <c r="D503" s="168"/>
      <c r="H503" s="169"/>
      <c r="I503" s="169"/>
    </row>
    <row r="504">
      <c r="D504" s="168"/>
      <c r="H504" s="169"/>
      <c r="I504" s="169"/>
    </row>
    <row r="505">
      <c r="D505" s="168"/>
      <c r="H505" s="169"/>
      <c r="I505" s="169"/>
    </row>
    <row r="506">
      <c r="D506" s="168"/>
      <c r="H506" s="169"/>
      <c r="I506" s="169"/>
    </row>
    <row r="507">
      <c r="D507" s="168"/>
      <c r="H507" s="169"/>
      <c r="I507" s="169"/>
    </row>
    <row r="508">
      <c r="D508" s="168"/>
      <c r="H508" s="169"/>
      <c r="I508" s="169"/>
    </row>
    <row r="509">
      <c r="D509" s="168"/>
      <c r="H509" s="169"/>
      <c r="I509" s="169"/>
    </row>
    <row r="510">
      <c r="D510" s="168"/>
      <c r="H510" s="169"/>
      <c r="I510" s="169"/>
    </row>
    <row r="511">
      <c r="D511" s="168"/>
      <c r="H511" s="169"/>
      <c r="I511" s="169"/>
    </row>
    <row r="512">
      <c r="D512" s="168"/>
      <c r="H512" s="169"/>
      <c r="I512" s="169"/>
    </row>
    <row r="513">
      <c r="D513" s="168"/>
      <c r="H513" s="169"/>
      <c r="I513" s="169"/>
    </row>
    <row r="514">
      <c r="D514" s="168"/>
      <c r="H514" s="169"/>
      <c r="I514" s="169"/>
    </row>
    <row r="515">
      <c r="D515" s="168"/>
      <c r="H515" s="169"/>
      <c r="I515" s="169"/>
    </row>
    <row r="516">
      <c r="D516" s="168"/>
      <c r="H516" s="169"/>
      <c r="I516" s="169"/>
    </row>
    <row r="517">
      <c r="D517" s="168"/>
      <c r="H517" s="169"/>
      <c r="I517" s="169"/>
    </row>
    <row r="518">
      <c r="D518" s="168"/>
      <c r="H518" s="169"/>
      <c r="I518" s="169"/>
    </row>
    <row r="519">
      <c r="D519" s="168"/>
      <c r="H519" s="169"/>
      <c r="I519" s="169"/>
    </row>
    <row r="520">
      <c r="D520" s="168"/>
      <c r="H520" s="169"/>
      <c r="I520" s="169"/>
    </row>
    <row r="521">
      <c r="D521" s="168"/>
      <c r="H521" s="169"/>
      <c r="I521" s="169"/>
    </row>
    <row r="522">
      <c r="D522" s="168"/>
      <c r="H522" s="169"/>
      <c r="I522" s="169"/>
    </row>
    <row r="523">
      <c r="D523" s="168"/>
      <c r="H523" s="169"/>
      <c r="I523" s="169"/>
    </row>
    <row r="524">
      <c r="D524" s="168"/>
      <c r="H524" s="169"/>
      <c r="I524" s="169"/>
    </row>
    <row r="525">
      <c r="D525" s="168"/>
      <c r="H525" s="169"/>
      <c r="I525" s="169"/>
    </row>
    <row r="526">
      <c r="D526" s="168"/>
      <c r="H526" s="169"/>
      <c r="I526" s="169"/>
    </row>
    <row r="527">
      <c r="D527" s="168"/>
      <c r="H527" s="169"/>
      <c r="I527" s="169"/>
    </row>
    <row r="528">
      <c r="D528" s="168"/>
      <c r="H528" s="169"/>
      <c r="I528" s="169"/>
    </row>
    <row r="529">
      <c r="D529" s="168"/>
      <c r="H529" s="169"/>
      <c r="I529" s="169"/>
    </row>
    <row r="530">
      <c r="D530" s="168"/>
      <c r="H530" s="169"/>
      <c r="I530" s="169"/>
    </row>
    <row r="531">
      <c r="D531" s="168"/>
      <c r="H531" s="169"/>
      <c r="I531" s="169"/>
    </row>
    <row r="532">
      <c r="D532" s="168"/>
      <c r="H532" s="169"/>
      <c r="I532" s="169"/>
    </row>
    <row r="533">
      <c r="D533" s="168"/>
      <c r="H533" s="169"/>
      <c r="I533" s="169"/>
    </row>
    <row r="534">
      <c r="D534" s="168"/>
      <c r="H534" s="169"/>
      <c r="I534" s="169"/>
    </row>
    <row r="535">
      <c r="D535" s="168"/>
      <c r="H535" s="169"/>
      <c r="I535" s="169"/>
    </row>
    <row r="536">
      <c r="D536" s="168"/>
      <c r="H536" s="169"/>
      <c r="I536" s="169"/>
    </row>
    <row r="537">
      <c r="D537" s="168"/>
      <c r="H537" s="169"/>
      <c r="I537" s="169"/>
    </row>
    <row r="538">
      <c r="D538" s="168"/>
      <c r="H538" s="169"/>
      <c r="I538" s="169"/>
    </row>
    <row r="539">
      <c r="D539" s="168"/>
      <c r="H539" s="169"/>
      <c r="I539" s="169"/>
    </row>
    <row r="540">
      <c r="D540" s="168"/>
      <c r="H540" s="169"/>
      <c r="I540" s="169"/>
    </row>
    <row r="541">
      <c r="D541" s="168"/>
      <c r="H541" s="169"/>
      <c r="I541" s="169"/>
    </row>
    <row r="542">
      <c r="D542" s="168"/>
      <c r="H542" s="169"/>
      <c r="I542" s="169"/>
    </row>
    <row r="543">
      <c r="D543" s="168"/>
      <c r="H543" s="169"/>
      <c r="I543" s="169"/>
    </row>
    <row r="544">
      <c r="D544" s="168"/>
      <c r="H544" s="169"/>
      <c r="I544" s="169"/>
    </row>
    <row r="545">
      <c r="D545" s="168"/>
      <c r="H545" s="169"/>
      <c r="I545" s="169"/>
    </row>
    <row r="546">
      <c r="D546" s="168"/>
      <c r="H546" s="169"/>
      <c r="I546" s="169"/>
    </row>
    <row r="547">
      <c r="D547" s="168"/>
      <c r="H547" s="169"/>
      <c r="I547" s="169"/>
    </row>
    <row r="548">
      <c r="D548" s="168"/>
      <c r="H548" s="169"/>
      <c r="I548" s="169"/>
    </row>
    <row r="549">
      <c r="D549" s="168"/>
      <c r="H549" s="169"/>
      <c r="I549" s="169"/>
    </row>
    <row r="550">
      <c r="D550" s="168"/>
      <c r="H550" s="169"/>
      <c r="I550" s="169"/>
    </row>
    <row r="551">
      <c r="D551" s="168"/>
      <c r="H551" s="169"/>
      <c r="I551" s="169"/>
    </row>
    <row r="552">
      <c r="D552" s="168"/>
      <c r="H552" s="169"/>
      <c r="I552" s="169"/>
    </row>
    <row r="553">
      <c r="D553" s="168"/>
      <c r="H553" s="169"/>
      <c r="I553" s="169"/>
    </row>
    <row r="554">
      <c r="D554" s="168"/>
      <c r="H554" s="169"/>
      <c r="I554" s="169"/>
    </row>
    <row r="555">
      <c r="D555" s="168"/>
      <c r="H555" s="169"/>
      <c r="I555" s="169"/>
    </row>
    <row r="556">
      <c r="D556" s="168"/>
      <c r="H556" s="169"/>
      <c r="I556" s="169"/>
    </row>
    <row r="557">
      <c r="D557" s="168"/>
      <c r="H557" s="169"/>
      <c r="I557" s="169"/>
    </row>
    <row r="558">
      <c r="D558" s="168"/>
      <c r="H558" s="169"/>
      <c r="I558" s="169"/>
    </row>
    <row r="559">
      <c r="D559" s="168"/>
      <c r="H559" s="169"/>
      <c r="I559" s="169"/>
    </row>
    <row r="560">
      <c r="D560" s="168"/>
      <c r="H560" s="169"/>
      <c r="I560" s="169"/>
    </row>
    <row r="561">
      <c r="D561" s="168"/>
      <c r="H561" s="169"/>
      <c r="I561" s="169"/>
    </row>
    <row r="562">
      <c r="D562" s="168"/>
      <c r="H562" s="169"/>
      <c r="I562" s="169"/>
    </row>
    <row r="563">
      <c r="D563" s="168"/>
      <c r="H563" s="169"/>
      <c r="I563" s="169"/>
    </row>
    <row r="564">
      <c r="D564" s="168"/>
      <c r="H564" s="169"/>
      <c r="I564" s="169"/>
    </row>
    <row r="565">
      <c r="D565" s="168"/>
      <c r="H565" s="169"/>
      <c r="I565" s="169"/>
    </row>
    <row r="566">
      <c r="D566" s="168"/>
      <c r="H566" s="169"/>
      <c r="I566" s="169"/>
    </row>
    <row r="567">
      <c r="D567" s="168"/>
      <c r="H567" s="169"/>
      <c r="I567" s="169"/>
    </row>
    <row r="568">
      <c r="D568" s="168"/>
      <c r="H568" s="169"/>
      <c r="I568" s="169"/>
    </row>
    <row r="569">
      <c r="D569" s="168"/>
      <c r="H569" s="169"/>
      <c r="I569" s="169"/>
    </row>
    <row r="570">
      <c r="D570" s="168"/>
      <c r="H570" s="169"/>
      <c r="I570" s="169"/>
    </row>
    <row r="571">
      <c r="D571" s="168"/>
      <c r="H571" s="169"/>
      <c r="I571" s="169"/>
    </row>
    <row r="572">
      <c r="D572" s="168"/>
      <c r="H572" s="169"/>
      <c r="I572" s="169"/>
    </row>
    <row r="573">
      <c r="D573" s="168"/>
      <c r="H573" s="169"/>
      <c r="I573" s="169"/>
    </row>
    <row r="574">
      <c r="D574" s="168"/>
      <c r="H574" s="169"/>
      <c r="I574" s="169"/>
    </row>
    <row r="575">
      <c r="D575" s="168"/>
      <c r="H575" s="169"/>
      <c r="I575" s="169"/>
    </row>
    <row r="576">
      <c r="D576" s="168"/>
      <c r="H576" s="169"/>
      <c r="I576" s="169"/>
    </row>
    <row r="577">
      <c r="D577" s="168"/>
      <c r="H577" s="169"/>
      <c r="I577" s="169"/>
    </row>
    <row r="578">
      <c r="D578" s="168"/>
      <c r="H578" s="169"/>
      <c r="I578" s="169"/>
    </row>
    <row r="579">
      <c r="D579" s="168"/>
      <c r="H579" s="169"/>
      <c r="I579" s="169"/>
    </row>
    <row r="580">
      <c r="D580" s="168"/>
      <c r="H580" s="169"/>
      <c r="I580" s="169"/>
    </row>
    <row r="581">
      <c r="D581" s="168"/>
      <c r="H581" s="169"/>
      <c r="I581" s="169"/>
    </row>
    <row r="582">
      <c r="D582" s="168"/>
      <c r="H582" s="169"/>
      <c r="I582" s="169"/>
    </row>
    <row r="583">
      <c r="D583" s="168"/>
      <c r="H583" s="169"/>
      <c r="I583" s="169"/>
    </row>
    <row r="584">
      <c r="D584" s="168"/>
      <c r="H584" s="169"/>
      <c r="I584" s="169"/>
    </row>
    <row r="585">
      <c r="D585" s="168"/>
      <c r="H585" s="169"/>
      <c r="I585" s="169"/>
    </row>
    <row r="586">
      <c r="D586" s="168"/>
      <c r="H586" s="169"/>
      <c r="I586" s="169"/>
    </row>
    <row r="587">
      <c r="D587" s="168"/>
      <c r="H587" s="169"/>
      <c r="I587" s="169"/>
    </row>
    <row r="588">
      <c r="D588" s="168"/>
      <c r="H588" s="169"/>
      <c r="I588" s="169"/>
    </row>
    <row r="589">
      <c r="D589" s="168"/>
      <c r="H589" s="169"/>
      <c r="I589" s="169"/>
    </row>
    <row r="590">
      <c r="D590" s="168"/>
      <c r="H590" s="169"/>
      <c r="I590" s="169"/>
    </row>
    <row r="591">
      <c r="D591" s="168"/>
      <c r="H591" s="169"/>
      <c r="I591" s="169"/>
    </row>
    <row r="592">
      <c r="D592" s="168"/>
      <c r="H592" s="169"/>
      <c r="I592" s="169"/>
    </row>
    <row r="593">
      <c r="D593" s="168"/>
      <c r="H593" s="169"/>
      <c r="I593" s="169"/>
    </row>
    <row r="594">
      <c r="D594" s="168"/>
      <c r="H594" s="169"/>
      <c r="I594" s="169"/>
    </row>
    <row r="595">
      <c r="D595" s="168"/>
      <c r="H595" s="169"/>
      <c r="I595" s="169"/>
    </row>
    <row r="596">
      <c r="D596" s="168"/>
      <c r="H596" s="169"/>
      <c r="I596" s="169"/>
    </row>
    <row r="597">
      <c r="D597" s="168"/>
      <c r="H597" s="169"/>
      <c r="I597" s="169"/>
    </row>
    <row r="598">
      <c r="D598" s="168"/>
      <c r="H598" s="169"/>
      <c r="I598" s="169"/>
    </row>
    <row r="599">
      <c r="D599" s="168"/>
      <c r="H599" s="169"/>
      <c r="I599" s="169"/>
    </row>
    <row r="600">
      <c r="D600" s="168"/>
      <c r="H600" s="169"/>
      <c r="I600" s="169"/>
    </row>
    <row r="601">
      <c r="D601" s="168"/>
      <c r="H601" s="169"/>
      <c r="I601" s="169"/>
    </row>
    <row r="602">
      <c r="D602" s="168"/>
      <c r="H602" s="169"/>
      <c r="I602" s="169"/>
    </row>
    <row r="603">
      <c r="D603" s="168"/>
      <c r="H603" s="169"/>
      <c r="I603" s="169"/>
    </row>
    <row r="604">
      <c r="D604" s="168"/>
      <c r="H604" s="169"/>
      <c r="I604" s="169"/>
    </row>
    <row r="605">
      <c r="D605" s="168"/>
      <c r="H605" s="169"/>
      <c r="I605" s="169"/>
    </row>
    <row r="606">
      <c r="D606" s="168"/>
      <c r="H606" s="169"/>
      <c r="I606" s="169"/>
    </row>
    <row r="607">
      <c r="D607" s="168"/>
      <c r="H607" s="169"/>
      <c r="I607" s="169"/>
    </row>
    <row r="608">
      <c r="D608" s="168"/>
      <c r="H608" s="169"/>
      <c r="I608" s="169"/>
    </row>
    <row r="609">
      <c r="D609" s="168"/>
      <c r="H609" s="169"/>
      <c r="I609" s="169"/>
    </row>
    <row r="610">
      <c r="D610" s="168"/>
      <c r="H610" s="169"/>
      <c r="I610" s="169"/>
    </row>
    <row r="611">
      <c r="D611" s="168"/>
      <c r="H611" s="169"/>
      <c r="I611" s="169"/>
    </row>
    <row r="612">
      <c r="D612" s="168"/>
      <c r="H612" s="169"/>
      <c r="I612" s="169"/>
    </row>
    <row r="613">
      <c r="D613" s="168"/>
      <c r="H613" s="169"/>
      <c r="I613" s="169"/>
    </row>
    <row r="614">
      <c r="D614" s="168"/>
      <c r="H614" s="169"/>
      <c r="I614" s="169"/>
    </row>
    <row r="615">
      <c r="D615" s="168"/>
      <c r="H615" s="169"/>
      <c r="I615" s="169"/>
    </row>
    <row r="616">
      <c r="D616" s="168"/>
      <c r="H616" s="169"/>
      <c r="I616" s="169"/>
    </row>
    <row r="617">
      <c r="D617" s="168"/>
      <c r="H617" s="169"/>
      <c r="I617" s="169"/>
    </row>
    <row r="618">
      <c r="D618" s="168"/>
      <c r="H618" s="169"/>
      <c r="I618" s="169"/>
    </row>
    <row r="619">
      <c r="D619" s="168"/>
      <c r="H619" s="169"/>
      <c r="I619" s="169"/>
    </row>
    <row r="620">
      <c r="D620" s="168"/>
      <c r="H620" s="169"/>
      <c r="I620" s="169"/>
    </row>
    <row r="621">
      <c r="D621" s="168"/>
      <c r="H621" s="169"/>
      <c r="I621" s="169"/>
    </row>
    <row r="622">
      <c r="D622" s="168"/>
      <c r="H622" s="169"/>
      <c r="I622" s="169"/>
    </row>
    <row r="623">
      <c r="D623" s="168"/>
      <c r="H623" s="169"/>
      <c r="I623" s="169"/>
    </row>
    <row r="624">
      <c r="D624" s="168"/>
      <c r="H624" s="169"/>
      <c r="I624" s="169"/>
    </row>
    <row r="625">
      <c r="D625" s="168"/>
      <c r="H625" s="169"/>
      <c r="I625" s="169"/>
    </row>
    <row r="626">
      <c r="D626" s="168"/>
      <c r="H626" s="169"/>
      <c r="I626" s="169"/>
    </row>
    <row r="627">
      <c r="D627" s="168"/>
      <c r="H627" s="169"/>
      <c r="I627" s="169"/>
    </row>
    <row r="628">
      <c r="D628" s="168"/>
      <c r="H628" s="169"/>
      <c r="I628" s="169"/>
    </row>
    <row r="629">
      <c r="D629" s="168"/>
      <c r="H629" s="169"/>
      <c r="I629" s="169"/>
    </row>
    <row r="630">
      <c r="D630" s="168"/>
      <c r="H630" s="169"/>
      <c r="I630" s="169"/>
    </row>
    <row r="631">
      <c r="D631" s="168"/>
      <c r="H631" s="169"/>
      <c r="I631" s="169"/>
    </row>
    <row r="632">
      <c r="D632" s="168"/>
      <c r="H632" s="169"/>
      <c r="I632" s="169"/>
    </row>
    <row r="633">
      <c r="D633" s="168"/>
      <c r="H633" s="169"/>
      <c r="I633" s="169"/>
    </row>
    <row r="634">
      <c r="D634" s="168"/>
      <c r="H634" s="169"/>
      <c r="I634" s="169"/>
    </row>
    <row r="635">
      <c r="D635" s="168"/>
      <c r="H635" s="169"/>
      <c r="I635" s="169"/>
    </row>
    <row r="636">
      <c r="D636" s="168"/>
      <c r="H636" s="169"/>
      <c r="I636" s="169"/>
    </row>
    <row r="637">
      <c r="D637" s="168"/>
      <c r="H637" s="169"/>
      <c r="I637" s="169"/>
    </row>
    <row r="638">
      <c r="D638" s="168"/>
      <c r="H638" s="169"/>
      <c r="I638" s="169"/>
    </row>
    <row r="639">
      <c r="D639" s="168"/>
      <c r="H639" s="169"/>
      <c r="I639" s="169"/>
    </row>
    <row r="640">
      <c r="D640" s="168"/>
      <c r="H640" s="169"/>
      <c r="I640" s="169"/>
    </row>
    <row r="641">
      <c r="D641" s="168"/>
      <c r="H641" s="169"/>
      <c r="I641" s="169"/>
    </row>
    <row r="642">
      <c r="D642" s="168"/>
      <c r="H642" s="169"/>
      <c r="I642" s="169"/>
    </row>
    <row r="643">
      <c r="D643" s="168"/>
      <c r="H643" s="169"/>
      <c r="I643" s="169"/>
    </row>
    <row r="644">
      <c r="D644" s="168"/>
      <c r="H644" s="169"/>
      <c r="I644" s="169"/>
    </row>
    <row r="645">
      <c r="D645" s="168"/>
      <c r="H645" s="169"/>
      <c r="I645" s="169"/>
    </row>
    <row r="646">
      <c r="D646" s="168"/>
      <c r="H646" s="169"/>
      <c r="I646" s="169"/>
    </row>
    <row r="647">
      <c r="D647" s="168"/>
      <c r="H647" s="169"/>
      <c r="I647" s="169"/>
    </row>
    <row r="648">
      <c r="D648" s="168"/>
      <c r="H648" s="169"/>
      <c r="I648" s="169"/>
    </row>
    <row r="649">
      <c r="D649" s="168"/>
      <c r="H649" s="169"/>
      <c r="I649" s="169"/>
    </row>
    <row r="650">
      <c r="D650" s="168"/>
      <c r="H650" s="169"/>
      <c r="I650" s="169"/>
    </row>
    <row r="651">
      <c r="D651" s="168"/>
      <c r="H651" s="169"/>
      <c r="I651" s="169"/>
    </row>
    <row r="652">
      <c r="D652" s="168"/>
      <c r="H652" s="169"/>
      <c r="I652" s="169"/>
    </row>
    <row r="653">
      <c r="D653" s="168"/>
      <c r="H653" s="169"/>
      <c r="I653" s="169"/>
    </row>
    <row r="654">
      <c r="D654" s="168"/>
      <c r="H654" s="169"/>
      <c r="I654" s="169"/>
    </row>
    <row r="655">
      <c r="D655" s="168"/>
      <c r="H655" s="169"/>
      <c r="I655" s="169"/>
    </row>
    <row r="656">
      <c r="D656" s="168"/>
      <c r="H656" s="169"/>
      <c r="I656" s="169"/>
    </row>
    <row r="657">
      <c r="D657" s="168"/>
      <c r="H657" s="169"/>
      <c r="I657" s="169"/>
    </row>
    <row r="658">
      <c r="D658" s="168"/>
      <c r="H658" s="169"/>
      <c r="I658" s="169"/>
    </row>
    <row r="659">
      <c r="D659" s="168"/>
      <c r="H659" s="169"/>
      <c r="I659" s="169"/>
    </row>
    <row r="660">
      <c r="D660" s="168"/>
      <c r="H660" s="169"/>
      <c r="I660" s="169"/>
    </row>
    <row r="661">
      <c r="D661" s="168"/>
      <c r="H661" s="169"/>
      <c r="I661" s="169"/>
    </row>
    <row r="662">
      <c r="D662" s="168"/>
      <c r="H662" s="169"/>
      <c r="I662" s="169"/>
    </row>
    <row r="663">
      <c r="D663" s="168"/>
      <c r="H663" s="169"/>
      <c r="I663" s="169"/>
    </row>
    <row r="664">
      <c r="D664" s="168"/>
      <c r="H664" s="169"/>
      <c r="I664" s="169"/>
    </row>
    <row r="665">
      <c r="D665" s="168"/>
      <c r="H665" s="169"/>
      <c r="I665" s="169"/>
    </row>
    <row r="666">
      <c r="D666" s="168"/>
      <c r="H666" s="169"/>
      <c r="I666" s="169"/>
    </row>
    <row r="667">
      <c r="D667" s="168"/>
      <c r="H667" s="169"/>
      <c r="I667" s="169"/>
    </row>
    <row r="668">
      <c r="D668" s="168"/>
      <c r="H668" s="169"/>
      <c r="I668" s="169"/>
    </row>
    <row r="669">
      <c r="D669" s="168"/>
      <c r="H669" s="169"/>
      <c r="I669" s="169"/>
    </row>
    <row r="670">
      <c r="D670" s="168"/>
      <c r="H670" s="169"/>
      <c r="I670" s="169"/>
    </row>
    <row r="671">
      <c r="D671" s="168"/>
      <c r="H671" s="169"/>
      <c r="I671" s="169"/>
    </row>
    <row r="672">
      <c r="D672" s="168"/>
      <c r="H672" s="169"/>
      <c r="I672" s="169"/>
    </row>
    <row r="673">
      <c r="D673" s="168"/>
      <c r="H673" s="169"/>
      <c r="I673" s="169"/>
    </row>
    <row r="674">
      <c r="D674" s="168"/>
      <c r="H674" s="169"/>
      <c r="I674" s="169"/>
    </row>
    <row r="675">
      <c r="D675" s="168"/>
      <c r="H675" s="169"/>
      <c r="I675" s="169"/>
    </row>
    <row r="676">
      <c r="D676" s="168"/>
      <c r="H676" s="169"/>
      <c r="I676" s="169"/>
    </row>
    <row r="677">
      <c r="D677" s="168"/>
      <c r="H677" s="169"/>
      <c r="I677" s="169"/>
    </row>
    <row r="678">
      <c r="D678" s="168"/>
      <c r="H678" s="169"/>
      <c r="I678" s="169"/>
    </row>
    <row r="679">
      <c r="D679" s="168"/>
      <c r="H679" s="169"/>
      <c r="I679" s="169"/>
    </row>
    <row r="680">
      <c r="D680" s="168"/>
      <c r="H680" s="169"/>
      <c r="I680" s="169"/>
    </row>
    <row r="681">
      <c r="D681" s="168"/>
      <c r="H681" s="169"/>
      <c r="I681" s="169"/>
    </row>
    <row r="682">
      <c r="D682" s="168"/>
      <c r="H682" s="169"/>
      <c r="I682" s="169"/>
    </row>
    <row r="683">
      <c r="D683" s="168"/>
      <c r="H683" s="169"/>
      <c r="I683" s="169"/>
    </row>
    <row r="684">
      <c r="D684" s="168"/>
      <c r="H684" s="169"/>
      <c r="I684" s="169"/>
    </row>
    <row r="685">
      <c r="D685" s="168"/>
      <c r="H685" s="169"/>
      <c r="I685" s="169"/>
    </row>
    <row r="686">
      <c r="D686" s="168"/>
      <c r="H686" s="169"/>
      <c r="I686" s="169"/>
    </row>
    <row r="687">
      <c r="D687" s="168"/>
      <c r="H687" s="169"/>
      <c r="I687" s="169"/>
    </row>
    <row r="688">
      <c r="D688" s="168"/>
      <c r="H688" s="169"/>
      <c r="I688" s="169"/>
    </row>
    <row r="689">
      <c r="D689" s="168"/>
      <c r="H689" s="169"/>
      <c r="I689" s="169"/>
    </row>
    <row r="690">
      <c r="D690" s="168"/>
      <c r="H690" s="169"/>
      <c r="I690" s="169"/>
    </row>
    <row r="691">
      <c r="D691" s="168"/>
      <c r="H691" s="169"/>
      <c r="I691" s="169"/>
    </row>
    <row r="692">
      <c r="D692" s="168"/>
      <c r="H692" s="169"/>
      <c r="I692" s="169"/>
    </row>
    <row r="693">
      <c r="D693" s="168"/>
      <c r="H693" s="169"/>
      <c r="I693" s="169"/>
    </row>
    <row r="694">
      <c r="D694" s="168"/>
      <c r="H694" s="169"/>
      <c r="I694" s="169"/>
    </row>
    <row r="695">
      <c r="D695" s="168"/>
      <c r="H695" s="169"/>
      <c r="I695" s="169"/>
    </row>
    <row r="696">
      <c r="D696" s="168"/>
      <c r="H696" s="169"/>
      <c r="I696" s="169"/>
    </row>
    <row r="697">
      <c r="D697" s="168"/>
      <c r="H697" s="169"/>
      <c r="I697" s="169"/>
    </row>
    <row r="698">
      <c r="D698" s="168"/>
      <c r="H698" s="169"/>
      <c r="I698" s="169"/>
    </row>
    <row r="699">
      <c r="D699" s="168"/>
      <c r="H699" s="169"/>
      <c r="I699" s="169"/>
    </row>
    <row r="700">
      <c r="D700" s="168"/>
      <c r="H700" s="169"/>
      <c r="I700" s="169"/>
    </row>
    <row r="701">
      <c r="D701" s="168"/>
      <c r="H701" s="169"/>
      <c r="I701" s="169"/>
    </row>
    <row r="702">
      <c r="D702" s="168"/>
      <c r="H702" s="169"/>
      <c r="I702" s="169"/>
    </row>
    <row r="703">
      <c r="D703" s="168"/>
      <c r="H703" s="169"/>
      <c r="I703" s="169"/>
    </row>
    <row r="704">
      <c r="D704" s="168"/>
      <c r="H704" s="169"/>
      <c r="I704" s="169"/>
    </row>
    <row r="705">
      <c r="D705" s="168"/>
      <c r="H705" s="169"/>
      <c r="I705" s="169"/>
    </row>
    <row r="706">
      <c r="D706" s="168"/>
      <c r="H706" s="169"/>
      <c r="I706" s="169"/>
    </row>
    <row r="707">
      <c r="D707" s="168"/>
      <c r="H707" s="169"/>
      <c r="I707" s="169"/>
    </row>
    <row r="708">
      <c r="D708" s="168"/>
      <c r="H708" s="169"/>
      <c r="I708" s="169"/>
    </row>
    <row r="709">
      <c r="D709" s="168"/>
      <c r="H709" s="169"/>
      <c r="I709" s="169"/>
    </row>
    <row r="710">
      <c r="D710" s="168"/>
      <c r="H710" s="169"/>
      <c r="I710" s="169"/>
    </row>
    <row r="711">
      <c r="D711" s="168"/>
      <c r="H711" s="169"/>
      <c r="I711" s="169"/>
    </row>
    <row r="712">
      <c r="D712" s="168"/>
      <c r="H712" s="169"/>
      <c r="I712" s="169"/>
    </row>
    <row r="713">
      <c r="D713" s="168"/>
      <c r="H713" s="169"/>
      <c r="I713" s="169"/>
    </row>
    <row r="714">
      <c r="D714" s="168"/>
      <c r="H714" s="169"/>
      <c r="I714" s="169"/>
    </row>
    <row r="715">
      <c r="D715" s="168"/>
      <c r="H715" s="169"/>
      <c r="I715" s="169"/>
    </row>
    <row r="716">
      <c r="D716" s="168"/>
      <c r="H716" s="169"/>
      <c r="I716" s="169"/>
    </row>
    <row r="717">
      <c r="D717" s="168"/>
      <c r="H717" s="169"/>
      <c r="I717" s="169"/>
    </row>
    <row r="718">
      <c r="D718" s="168"/>
      <c r="H718" s="169"/>
      <c r="I718" s="169"/>
    </row>
    <row r="719">
      <c r="D719" s="168"/>
      <c r="H719" s="169"/>
      <c r="I719" s="169"/>
    </row>
    <row r="720">
      <c r="D720" s="168"/>
      <c r="H720" s="169"/>
      <c r="I720" s="169"/>
    </row>
    <row r="721">
      <c r="D721" s="168"/>
      <c r="H721" s="169"/>
      <c r="I721" s="169"/>
    </row>
    <row r="722">
      <c r="D722" s="168"/>
      <c r="H722" s="169"/>
      <c r="I722" s="169"/>
    </row>
    <row r="723">
      <c r="D723" s="168"/>
      <c r="H723" s="169"/>
      <c r="I723" s="169"/>
    </row>
    <row r="724">
      <c r="D724" s="168"/>
      <c r="H724" s="169"/>
      <c r="I724" s="169"/>
    </row>
    <row r="725">
      <c r="D725" s="168"/>
      <c r="H725" s="169"/>
      <c r="I725" s="169"/>
    </row>
    <row r="726">
      <c r="D726" s="168"/>
      <c r="H726" s="169"/>
      <c r="I726" s="169"/>
    </row>
    <row r="727">
      <c r="D727" s="168"/>
      <c r="H727" s="169"/>
      <c r="I727" s="169"/>
    </row>
    <row r="728">
      <c r="D728" s="168"/>
      <c r="H728" s="169"/>
      <c r="I728" s="169"/>
    </row>
    <row r="729">
      <c r="D729" s="168"/>
      <c r="H729" s="169"/>
      <c r="I729" s="169"/>
    </row>
    <row r="730">
      <c r="D730" s="168"/>
      <c r="H730" s="169"/>
      <c r="I730" s="169"/>
    </row>
    <row r="731">
      <c r="D731" s="168"/>
      <c r="H731" s="169"/>
      <c r="I731" s="169"/>
    </row>
    <row r="732">
      <c r="D732" s="168"/>
      <c r="H732" s="169"/>
      <c r="I732" s="169"/>
    </row>
    <row r="733">
      <c r="D733" s="168"/>
      <c r="H733" s="169"/>
      <c r="I733" s="169"/>
    </row>
    <row r="734">
      <c r="D734" s="168"/>
      <c r="H734" s="169"/>
      <c r="I734" s="169"/>
    </row>
    <row r="735">
      <c r="D735" s="168"/>
      <c r="H735" s="169"/>
      <c r="I735" s="169"/>
    </row>
    <row r="736">
      <c r="D736" s="168"/>
      <c r="H736" s="169"/>
      <c r="I736" s="169"/>
    </row>
    <row r="737">
      <c r="D737" s="168"/>
      <c r="H737" s="169"/>
      <c r="I737" s="169"/>
    </row>
    <row r="738">
      <c r="D738" s="168"/>
      <c r="H738" s="169"/>
      <c r="I738" s="169"/>
    </row>
    <row r="739">
      <c r="D739" s="168"/>
      <c r="H739" s="169"/>
      <c r="I739" s="169"/>
    </row>
    <row r="740">
      <c r="D740" s="168"/>
      <c r="H740" s="169"/>
      <c r="I740" s="169"/>
    </row>
    <row r="741">
      <c r="D741" s="168"/>
      <c r="H741" s="169"/>
      <c r="I741" s="169"/>
    </row>
    <row r="742">
      <c r="D742" s="168"/>
      <c r="H742" s="169"/>
      <c r="I742" s="169"/>
    </row>
    <row r="743">
      <c r="D743" s="168"/>
      <c r="H743" s="169"/>
      <c r="I743" s="169"/>
    </row>
    <row r="744">
      <c r="D744" s="168"/>
      <c r="H744" s="169"/>
      <c r="I744" s="169"/>
    </row>
    <row r="745">
      <c r="D745" s="168"/>
      <c r="H745" s="169"/>
      <c r="I745" s="169"/>
    </row>
    <row r="746">
      <c r="D746" s="168"/>
      <c r="H746" s="169"/>
      <c r="I746" s="169"/>
    </row>
    <row r="747">
      <c r="D747" s="168"/>
      <c r="H747" s="169"/>
      <c r="I747" s="169"/>
    </row>
    <row r="748">
      <c r="D748" s="168"/>
      <c r="H748" s="169"/>
      <c r="I748" s="169"/>
    </row>
    <row r="749">
      <c r="D749" s="168"/>
      <c r="H749" s="169"/>
      <c r="I749" s="169"/>
    </row>
    <row r="750">
      <c r="D750" s="168"/>
      <c r="H750" s="169"/>
      <c r="I750" s="169"/>
    </row>
    <row r="751">
      <c r="D751" s="168"/>
      <c r="H751" s="169"/>
      <c r="I751" s="169"/>
    </row>
    <row r="752">
      <c r="D752" s="168"/>
      <c r="H752" s="169"/>
      <c r="I752" s="169"/>
    </row>
    <row r="753">
      <c r="D753" s="168"/>
      <c r="H753" s="169"/>
      <c r="I753" s="169"/>
    </row>
    <row r="754">
      <c r="D754" s="168"/>
      <c r="H754" s="169"/>
      <c r="I754" s="169"/>
    </row>
    <row r="755">
      <c r="D755" s="168"/>
      <c r="H755" s="169"/>
      <c r="I755" s="169"/>
    </row>
    <row r="756">
      <c r="D756" s="168"/>
      <c r="H756" s="169"/>
      <c r="I756" s="169"/>
    </row>
    <row r="757">
      <c r="D757" s="168"/>
      <c r="H757" s="169"/>
      <c r="I757" s="169"/>
    </row>
    <row r="758">
      <c r="D758" s="168"/>
      <c r="H758" s="169"/>
      <c r="I758" s="169"/>
    </row>
    <row r="759">
      <c r="D759" s="168"/>
      <c r="H759" s="169"/>
      <c r="I759" s="169"/>
    </row>
    <row r="760">
      <c r="D760" s="168"/>
      <c r="H760" s="169"/>
      <c r="I760" s="169"/>
    </row>
    <row r="761">
      <c r="D761" s="168"/>
      <c r="H761" s="169"/>
      <c r="I761" s="169"/>
    </row>
    <row r="762">
      <c r="D762" s="168"/>
      <c r="H762" s="169"/>
      <c r="I762" s="169"/>
    </row>
    <row r="763">
      <c r="D763" s="168"/>
      <c r="H763" s="169"/>
      <c r="I763" s="169"/>
    </row>
    <row r="764">
      <c r="D764" s="168"/>
      <c r="H764" s="169"/>
      <c r="I764" s="169"/>
    </row>
    <row r="765">
      <c r="D765" s="168"/>
      <c r="H765" s="169"/>
      <c r="I765" s="169"/>
    </row>
    <row r="766">
      <c r="D766" s="168"/>
      <c r="H766" s="169"/>
      <c r="I766" s="169"/>
    </row>
    <row r="767">
      <c r="D767" s="168"/>
      <c r="H767" s="169"/>
      <c r="I767" s="169"/>
    </row>
    <row r="768">
      <c r="D768" s="168"/>
      <c r="H768" s="169"/>
      <c r="I768" s="169"/>
    </row>
    <row r="769">
      <c r="D769" s="168"/>
      <c r="H769" s="169"/>
      <c r="I769" s="169"/>
    </row>
    <row r="770">
      <c r="D770" s="168"/>
      <c r="H770" s="169"/>
      <c r="I770" s="169"/>
    </row>
    <row r="771">
      <c r="D771" s="168"/>
      <c r="H771" s="169"/>
      <c r="I771" s="169"/>
    </row>
    <row r="772">
      <c r="D772" s="168"/>
      <c r="H772" s="169"/>
      <c r="I772" s="169"/>
    </row>
    <row r="773">
      <c r="D773" s="168"/>
      <c r="H773" s="169"/>
      <c r="I773" s="169"/>
    </row>
    <row r="774">
      <c r="D774" s="168"/>
      <c r="H774" s="169"/>
      <c r="I774" s="169"/>
    </row>
    <row r="775">
      <c r="D775" s="168"/>
      <c r="H775" s="169"/>
      <c r="I775" s="169"/>
    </row>
    <row r="776">
      <c r="D776" s="168"/>
      <c r="H776" s="169"/>
      <c r="I776" s="169"/>
    </row>
    <row r="777">
      <c r="D777" s="168"/>
      <c r="H777" s="169"/>
      <c r="I777" s="169"/>
    </row>
    <row r="778">
      <c r="D778" s="168"/>
      <c r="H778" s="169"/>
      <c r="I778" s="169"/>
    </row>
    <row r="779">
      <c r="D779" s="168"/>
      <c r="H779" s="169"/>
      <c r="I779" s="169"/>
    </row>
    <row r="780">
      <c r="D780" s="168"/>
      <c r="H780" s="169"/>
      <c r="I780" s="169"/>
    </row>
    <row r="781">
      <c r="D781" s="168"/>
      <c r="H781" s="169"/>
      <c r="I781" s="169"/>
    </row>
    <row r="782">
      <c r="D782" s="168"/>
      <c r="H782" s="169"/>
      <c r="I782" s="169"/>
    </row>
    <row r="783">
      <c r="D783" s="168"/>
      <c r="H783" s="169"/>
      <c r="I783" s="169"/>
    </row>
    <row r="784">
      <c r="D784" s="168"/>
      <c r="H784" s="169"/>
      <c r="I784" s="169"/>
    </row>
    <row r="785">
      <c r="D785" s="168"/>
      <c r="H785" s="169"/>
      <c r="I785" s="169"/>
    </row>
    <row r="786">
      <c r="D786" s="168"/>
      <c r="H786" s="169"/>
      <c r="I786" s="169"/>
    </row>
    <row r="787">
      <c r="D787" s="168"/>
      <c r="H787" s="169"/>
      <c r="I787" s="169"/>
    </row>
    <row r="788">
      <c r="D788" s="168"/>
      <c r="H788" s="169"/>
      <c r="I788" s="169"/>
    </row>
    <row r="789">
      <c r="D789" s="168"/>
      <c r="H789" s="169"/>
      <c r="I789" s="169"/>
    </row>
    <row r="790">
      <c r="D790" s="168"/>
      <c r="H790" s="169"/>
      <c r="I790" s="169"/>
    </row>
    <row r="791">
      <c r="D791" s="168"/>
      <c r="H791" s="169"/>
      <c r="I791" s="169"/>
    </row>
    <row r="792">
      <c r="D792" s="168"/>
      <c r="H792" s="169"/>
      <c r="I792" s="169"/>
    </row>
    <row r="793">
      <c r="D793" s="168"/>
      <c r="H793" s="169"/>
      <c r="I793" s="169"/>
    </row>
    <row r="794">
      <c r="D794" s="168"/>
      <c r="H794" s="169"/>
      <c r="I794" s="169"/>
    </row>
    <row r="795">
      <c r="D795" s="168"/>
      <c r="H795" s="169"/>
      <c r="I795" s="169"/>
    </row>
    <row r="796">
      <c r="D796" s="168"/>
      <c r="H796" s="169"/>
      <c r="I796" s="169"/>
    </row>
    <row r="797">
      <c r="D797" s="168"/>
      <c r="H797" s="169"/>
      <c r="I797" s="169"/>
    </row>
    <row r="798">
      <c r="D798" s="168"/>
      <c r="H798" s="169"/>
      <c r="I798" s="169"/>
    </row>
    <row r="799">
      <c r="D799" s="168"/>
      <c r="H799" s="169"/>
      <c r="I799" s="169"/>
    </row>
    <row r="800">
      <c r="D800" s="168"/>
      <c r="H800" s="169"/>
      <c r="I800" s="169"/>
    </row>
    <row r="801">
      <c r="D801" s="168"/>
      <c r="H801" s="169"/>
      <c r="I801" s="169"/>
    </row>
    <row r="802">
      <c r="D802" s="168"/>
      <c r="H802" s="169"/>
      <c r="I802" s="169"/>
    </row>
    <row r="803">
      <c r="D803" s="168"/>
      <c r="H803" s="169"/>
      <c r="I803" s="169"/>
    </row>
    <row r="804">
      <c r="D804" s="168"/>
      <c r="H804" s="169"/>
      <c r="I804" s="169"/>
    </row>
    <row r="805">
      <c r="D805" s="168"/>
      <c r="H805" s="169"/>
      <c r="I805" s="169"/>
    </row>
    <row r="806">
      <c r="D806" s="168"/>
      <c r="H806" s="169"/>
      <c r="I806" s="169"/>
    </row>
    <row r="807">
      <c r="D807" s="168"/>
      <c r="H807" s="169"/>
      <c r="I807" s="169"/>
    </row>
    <row r="808">
      <c r="D808" s="168"/>
      <c r="H808" s="169"/>
      <c r="I808" s="169"/>
    </row>
    <row r="809">
      <c r="D809" s="168"/>
      <c r="H809" s="169"/>
      <c r="I809" s="169"/>
    </row>
    <row r="810">
      <c r="D810" s="168"/>
      <c r="H810" s="169"/>
      <c r="I810" s="169"/>
    </row>
    <row r="811">
      <c r="D811" s="168"/>
      <c r="H811" s="169"/>
      <c r="I811" s="169"/>
    </row>
    <row r="812">
      <c r="D812" s="168"/>
      <c r="H812" s="169"/>
      <c r="I812" s="169"/>
    </row>
    <row r="813">
      <c r="D813" s="168"/>
      <c r="H813" s="169"/>
      <c r="I813" s="169"/>
    </row>
    <row r="814">
      <c r="D814" s="168"/>
      <c r="H814" s="169"/>
      <c r="I814" s="169"/>
    </row>
    <row r="815">
      <c r="D815" s="168"/>
      <c r="H815" s="169"/>
      <c r="I815" s="169"/>
    </row>
    <row r="816">
      <c r="D816" s="168"/>
      <c r="H816" s="169"/>
      <c r="I816" s="169"/>
    </row>
    <row r="817">
      <c r="D817" s="168"/>
      <c r="H817" s="169"/>
      <c r="I817" s="169"/>
    </row>
    <row r="818">
      <c r="D818" s="168"/>
      <c r="H818" s="169"/>
      <c r="I818" s="169"/>
    </row>
    <row r="819">
      <c r="D819" s="168"/>
      <c r="H819" s="169"/>
      <c r="I819" s="169"/>
    </row>
    <row r="820">
      <c r="D820" s="168"/>
      <c r="H820" s="169"/>
      <c r="I820" s="169"/>
    </row>
    <row r="821">
      <c r="D821" s="168"/>
      <c r="H821" s="169"/>
      <c r="I821" s="169"/>
    </row>
    <row r="822">
      <c r="D822" s="168"/>
      <c r="H822" s="169"/>
      <c r="I822" s="169"/>
    </row>
    <row r="823">
      <c r="D823" s="168"/>
      <c r="H823" s="169"/>
      <c r="I823" s="169"/>
    </row>
    <row r="824">
      <c r="D824" s="168"/>
      <c r="H824" s="169"/>
      <c r="I824" s="169"/>
    </row>
    <row r="825">
      <c r="D825" s="168"/>
      <c r="H825" s="169"/>
      <c r="I825" s="169"/>
    </row>
    <row r="826">
      <c r="D826" s="168"/>
      <c r="H826" s="169"/>
      <c r="I826" s="169"/>
    </row>
    <row r="827">
      <c r="D827" s="168"/>
      <c r="H827" s="169"/>
      <c r="I827" s="169"/>
    </row>
    <row r="828">
      <c r="D828" s="168"/>
      <c r="H828" s="169"/>
      <c r="I828" s="169"/>
    </row>
    <row r="829">
      <c r="D829" s="168"/>
      <c r="H829" s="169"/>
      <c r="I829" s="169"/>
    </row>
    <row r="830">
      <c r="D830" s="168"/>
      <c r="H830" s="169"/>
      <c r="I830" s="169"/>
    </row>
    <row r="831">
      <c r="D831" s="168"/>
      <c r="H831" s="169"/>
      <c r="I831" s="169"/>
    </row>
    <row r="832">
      <c r="D832" s="168"/>
      <c r="H832" s="169"/>
      <c r="I832" s="169"/>
    </row>
    <row r="833">
      <c r="D833" s="168"/>
      <c r="H833" s="169"/>
      <c r="I833" s="169"/>
    </row>
    <row r="834">
      <c r="D834" s="168"/>
      <c r="H834" s="169"/>
      <c r="I834" s="169"/>
    </row>
    <row r="835">
      <c r="D835" s="168"/>
      <c r="H835" s="169"/>
      <c r="I835" s="169"/>
    </row>
    <row r="836">
      <c r="D836" s="168"/>
      <c r="H836" s="169"/>
      <c r="I836" s="169"/>
    </row>
    <row r="837">
      <c r="D837" s="168"/>
      <c r="H837" s="169"/>
      <c r="I837" s="169"/>
    </row>
    <row r="838">
      <c r="D838" s="168"/>
      <c r="H838" s="169"/>
      <c r="I838" s="169"/>
    </row>
    <row r="839">
      <c r="D839" s="168"/>
      <c r="H839" s="169"/>
      <c r="I839" s="169"/>
    </row>
    <row r="840">
      <c r="D840" s="168"/>
      <c r="H840" s="169"/>
      <c r="I840" s="169"/>
    </row>
    <row r="841">
      <c r="D841" s="168"/>
      <c r="H841" s="169"/>
      <c r="I841" s="169"/>
    </row>
    <row r="842">
      <c r="D842" s="168"/>
      <c r="H842" s="169"/>
      <c r="I842" s="169"/>
    </row>
    <row r="843">
      <c r="D843" s="168"/>
      <c r="H843" s="169"/>
      <c r="I843" s="169"/>
    </row>
    <row r="844">
      <c r="D844" s="168"/>
      <c r="H844" s="169"/>
      <c r="I844" s="169"/>
    </row>
    <row r="845">
      <c r="D845" s="168"/>
      <c r="H845" s="169"/>
      <c r="I845" s="169"/>
    </row>
    <row r="846">
      <c r="D846" s="168"/>
      <c r="H846" s="169"/>
      <c r="I846" s="169"/>
    </row>
    <row r="847">
      <c r="D847" s="168"/>
      <c r="H847" s="169"/>
      <c r="I847" s="169"/>
    </row>
    <row r="848">
      <c r="D848" s="168"/>
      <c r="H848" s="169"/>
      <c r="I848" s="169"/>
    </row>
    <row r="849">
      <c r="D849" s="168"/>
      <c r="H849" s="169"/>
      <c r="I849" s="169"/>
    </row>
    <row r="850">
      <c r="D850" s="168"/>
      <c r="H850" s="169"/>
      <c r="I850" s="169"/>
    </row>
    <row r="851">
      <c r="D851" s="168"/>
      <c r="H851" s="169"/>
      <c r="I851" s="169"/>
    </row>
    <row r="852">
      <c r="D852" s="168"/>
      <c r="H852" s="169"/>
      <c r="I852" s="169"/>
    </row>
    <row r="853">
      <c r="D853" s="168"/>
      <c r="H853" s="169"/>
      <c r="I853" s="169"/>
    </row>
    <row r="854">
      <c r="D854" s="168"/>
      <c r="H854" s="169"/>
      <c r="I854" s="169"/>
    </row>
    <row r="855">
      <c r="D855" s="168"/>
      <c r="H855" s="169"/>
      <c r="I855" s="169"/>
    </row>
    <row r="856">
      <c r="D856" s="168"/>
      <c r="H856" s="169"/>
      <c r="I856" s="169"/>
    </row>
    <row r="857">
      <c r="D857" s="168"/>
      <c r="H857" s="169"/>
      <c r="I857" s="169"/>
    </row>
    <row r="858">
      <c r="D858" s="168"/>
      <c r="H858" s="169"/>
      <c r="I858" s="169"/>
    </row>
    <row r="859">
      <c r="D859" s="168"/>
      <c r="H859" s="169"/>
      <c r="I859" s="169"/>
    </row>
    <row r="860">
      <c r="D860" s="168"/>
      <c r="H860" s="169"/>
      <c r="I860" s="169"/>
    </row>
    <row r="861">
      <c r="D861" s="168"/>
      <c r="H861" s="169"/>
      <c r="I861" s="169"/>
    </row>
    <row r="862">
      <c r="D862" s="168"/>
      <c r="H862" s="169"/>
      <c r="I862" s="169"/>
    </row>
    <row r="863">
      <c r="D863" s="168"/>
      <c r="H863" s="169"/>
      <c r="I863" s="169"/>
    </row>
    <row r="864">
      <c r="D864" s="168"/>
      <c r="H864" s="169"/>
      <c r="I864" s="169"/>
    </row>
    <row r="865">
      <c r="D865" s="168"/>
      <c r="H865" s="169"/>
      <c r="I865" s="169"/>
    </row>
    <row r="866">
      <c r="D866" s="168"/>
      <c r="H866" s="169"/>
      <c r="I866" s="169"/>
    </row>
    <row r="867">
      <c r="D867" s="168"/>
      <c r="H867" s="169"/>
      <c r="I867" s="169"/>
    </row>
    <row r="868">
      <c r="D868" s="168"/>
      <c r="H868" s="169"/>
      <c r="I868" s="169"/>
    </row>
    <row r="869">
      <c r="D869" s="168"/>
      <c r="H869" s="169"/>
      <c r="I869" s="169"/>
    </row>
    <row r="870">
      <c r="D870" s="168"/>
      <c r="H870" s="169"/>
      <c r="I870" s="169"/>
    </row>
    <row r="871">
      <c r="D871" s="168"/>
      <c r="H871" s="169"/>
      <c r="I871" s="169"/>
    </row>
    <row r="872">
      <c r="D872" s="168"/>
      <c r="H872" s="169"/>
      <c r="I872" s="169"/>
    </row>
    <row r="873">
      <c r="D873" s="168"/>
      <c r="H873" s="169"/>
      <c r="I873" s="169"/>
    </row>
    <row r="874">
      <c r="D874" s="168"/>
      <c r="H874" s="169"/>
      <c r="I874" s="169"/>
    </row>
    <row r="875">
      <c r="D875" s="168"/>
      <c r="H875" s="169"/>
      <c r="I875" s="169"/>
    </row>
    <row r="876">
      <c r="D876" s="168"/>
      <c r="H876" s="169"/>
      <c r="I876" s="169"/>
    </row>
    <row r="877">
      <c r="D877" s="168"/>
      <c r="H877" s="169"/>
      <c r="I877" s="169"/>
    </row>
    <row r="878">
      <c r="D878" s="168"/>
      <c r="H878" s="169"/>
      <c r="I878" s="169"/>
    </row>
    <row r="879">
      <c r="D879" s="168"/>
      <c r="H879" s="169"/>
      <c r="I879" s="169"/>
    </row>
    <row r="880">
      <c r="D880" s="168"/>
      <c r="H880" s="169"/>
      <c r="I880" s="169"/>
    </row>
    <row r="881">
      <c r="D881" s="168"/>
      <c r="H881" s="169"/>
      <c r="I881" s="169"/>
    </row>
    <row r="882">
      <c r="D882" s="168"/>
      <c r="H882" s="169"/>
      <c r="I882" s="169"/>
    </row>
    <row r="883">
      <c r="D883" s="168"/>
      <c r="H883" s="169"/>
      <c r="I883" s="169"/>
    </row>
    <row r="884">
      <c r="D884" s="168"/>
      <c r="H884" s="169"/>
      <c r="I884" s="169"/>
    </row>
    <row r="885">
      <c r="D885" s="168"/>
      <c r="H885" s="169"/>
      <c r="I885" s="169"/>
    </row>
    <row r="886">
      <c r="D886" s="168"/>
      <c r="H886" s="169"/>
      <c r="I886" s="169"/>
    </row>
    <row r="887">
      <c r="D887" s="168"/>
      <c r="H887" s="169"/>
      <c r="I887" s="169"/>
    </row>
    <row r="888">
      <c r="D888" s="168"/>
      <c r="H888" s="169"/>
      <c r="I888" s="169"/>
    </row>
    <row r="889">
      <c r="D889" s="168"/>
      <c r="H889" s="169"/>
      <c r="I889" s="169"/>
    </row>
    <row r="890">
      <c r="D890" s="168"/>
      <c r="H890" s="169"/>
      <c r="I890" s="169"/>
    </row>
    <row r="891">
      <c r="D891" s="168"/>
      <c r="H891" s="169"/>
      <c r="I891" s="169"/>
    </row>
    <row r="892">
      <c r="D892" s="168"/>
      <c r="H892" s="169"/>
      <c r="I892" s="169"/>
    </row>
    <row r="893">
      <c r="D893" s="168"/>
      <c r="H893" s="169"/>
      <c r="I893" s="169"/>
    </row>
    <row r="894">
      <c r="D894" s="168"/>
      <c r="H894" s="169"/>
      <c r="I894" s="169"/>
    </row>
    <row r="895">
      <c r="D895" s="168"/>
      <c r="H895" s="169"/>
      <c r="I895" s="169"/>
    </row>
    <row r="896">
      <c r="D896" s="168"/>
      <c r="H896" s="169"/>
      <c r="I896" s="169"/>
    </row>
    <row r="897">
      <c r="D897" s="168"/>
      <c r="H897" s="169"/>
      <c r="I897" s="169"/>
    </row>
    <row r="898">
      <c r="D898" s="168"/>
      <c r="H898" s="169"/>
      <c r="I898" s="169"/>
    </row>
    <row r="899">
      <c r="D899" s="168"/>
      <c r="H899" s="169"/>
      <c r="I899" s="169"/>
    </row>
    <row r="900">
      <c r="D900" s="168"/>
      <c r="H900" s="169"/>
      <c r="I900" s="169"/>
    </row>
    <row r="901">
      <c r="D901" s="168"/>
      <c r="H901" s="169"/>
      <c r="I901" s="169"/>
    </row>
    <row r="902">
      <c r="D902" s="168"/>
      <c r="H902" s="169"/>
      <c r="I902" s="169"/>
    </row>
    <row r="903">
      <c r="D903" s="168"/>
      <c r="H903" s="169"/>
      <c r="I903" s="169"/>
    </row>
    <row r="904">
      <c r="D904" s="168"/>
      <c r="H904" s="169"/>
      <c r="I904" s="169"/>
    </row>
    <row r="905">
      <c r="D905" s="168"/>
      <c r="H905" s="169"/>
      <c r="I905" s="169"/>
    </row>
    <row r="906">
      <c r="D906" s="168"/>
      <c r="H906" s="169"/>
      <c r="I906" s="169"/>
    </row>
    <row r="907">
      <c r="D907" s="168"/>
      <c r="H907" s="169"/>
      <c r="I907" s="169"/>
    </row>
    <row r="908">
      <c r="D908" s="168"/>
      <c r="H908" s="169"/>
      <c r="I908" s="169"/>
    </row>
    <row r="909">
      <c r="D909" s="168"/>
      <c r="H909" s="169"/>
      <c r="I909" s="169"/>
    </row>
    <row r="910">
      <c r="D910" s="168"/>
      <c r="H910" s="169"/>
      <c r="I910" s="169"/>
    </row>
    <row r="911">
      <c r="D911" s="168"/>
      <c r="H911" s="169"/>
      <c r="I911" s="169"/>
    </row>
    <row r="912">
      <c r="D912" s="168"/>
      <c r="H912" s="169"/>
      <c r="I912" s="169"/>
    </row>
    <row r="913">
      <c r="D913" s="168"/>
      <c r="H913" s="169"/>
      <c r="I913" s="169"/>
    </row>
    <row r="914">
      <c r="D914" s="168"/>
      <c r="H914" s="169"/>
      <c r="I914" s="169"/>
    </row>
    <row r="915">
      <c r="D915" s="168"/>
      <c r="H915" s="169"/>
      <c r="I915" s="169"/>
    </row>
    <row r="916">
      <c r="D916" s="168"/>
      <c r="H916" s="169"/>
      <c r="I916" s="169"/>
    </row>
    <row r="917">
      <c r="D917" s="168"/>
      <c r="H917" s="169"/>
      <c r="I917" s="169"/>
    </row>
    <row r="918">
      <c r="D918" s="168"/>
      <c r="H918" s="169"/>
      <c r="I918" s="169"/>
    </row>
    <row r="919">
      <c r="D919" s="168"/>
      <c r="H919" s="169"/>
      <c r="I919" s="169"/>
    </row>
    <row r="920">
      <c r="D920" s="168"/>
      <c r="H920" s="169"/>
      <c r="I920" s="169"/>
    </row>
    <row r="921">
      <c r="D921" s="168"/>
      <c r="H921" s="169"/>
      <c r="I921" s="169"/>
    </row>
    <row r="922">
      <c r="D922" s="168"/>
      <c r="H922" s="169"/>
      <c r="I922" s="169"/>
    </row>
    <row r="923">
      <c r="D923" s="168"/>
      <c r="H923" s="169"/>
      <c r="I923" s="169"/>
    </row>
    <row r="924">
      <c r="D924" s="168"/>
      <c r="H924" s="169"/>
      <c r="I924" s="169"/>
    </row>
    <row r="925">
      <c r="D925" s="168"/>
      <c r="H925" s="169"/>
      <c r="I925" s="169"/>
    </row>
    <row r="926">
      <c r="D926" s="168"/>
      <c r="H926" s="169"/>
      <c r="I926" s="169"/>
    </row>
    <row r="927">
      <c r="D927" s="168"/>
      <c r="H927" s="169"/>
      <c r="I927" s="169"/>
    </row>
    <row r="928">
      <c r="D928" s="168"/>
      <c r="H928" s="169"/>
      <c r="I928" s="169"/>
    </row>
    <row r="929">
      <c r="D929" s="168"/>
      <c r="H929" s="169"/>
      <c r="I929" s="169"/>
    </row>
    <row r="930">
      <c r="D930" s="168"/>
      <c r="H930" s="169"/>
      <c r="I930" s="169"/>
    </row>
    <row r="931">
      <c r="D931" s="168"/>
      <c r="H931" s="169"/>
      <c r="I931" s="169"/>
    </row>
    <row r="932">
      <c r="D932" s="168"/>
      <c r="H932" s="169"/>
      <c r="I932" s="169"/>
    </row>
    <row r="933">
      <c r="D933" s="168"/>
      <c r="H933" s="169"/>
      <c r="I933" s="169"/>
    </row>
    <row r="934">
      <c r="D934" s="168"/>
      <c r="H934" s="169"/>
      <c r="I934" s="169"/>
    </row>
    <row r="935">
      <c r="D935" s="168"/>
      <c r="H935" s="169"/>
      <c r="I935" s="169"/>
    </row>
    <row r="936">
      <c r="D936" s="168"/>
      <c r="H936" s="169"/>
      <c r="I936" s="169"/>
    </row>
    <row r="937">
      <c r="D937" s="168"/>
      <c r="H937" s="169"/>
      <c r="I937" s="169"/>
    </row>
    <row r="938">
      <c r="D938" s="168"/>
      <c r="H938" s="169"/>
      <c r="I938" s="169"/>
    </row>
    <row r="939">
      <c r="D939" s="168"/>
      <c r="H939" s="169"/>
      <c r="I939" s="169"/>
    </row>
    <row r="940">
      <c r="D940" s="168"/>
      <c r="H940" s="169"/>
      <c r="I940" s="169"/>
    </row>
    <row r="941">
      <c r="D941" s="168"/>
      <c r="H941" s="169"/>
      <c r="I941" s="169"/>
    </row>
    <row r="942">
      <c r="D942" s="168"/>
      <c r="H942" s="169"/>
      <c r="I942" s="169"/>
    </row>
    <row r="943">
      <c r="D943" s="168"/>
      <c r="H943" s="169"/>
      <c r="I943" s="169"/>
    </row>
    <row r="944">
      <c r="D944" s="168"/>
      <c r="H944" s="169"/>
      <c r="I944" s="169"/>
    </row>
    <row r="945">
      <c r="D945" s="168"/>
      <c r="H945" s="169"/>
      <c r="I945" s="169"/>
    </row>
    <row r="946">
      <c r="D946" s="168"/>
      <c r="H946" s="169"/>
      <c r="I946" s="169"/>
    </row>
    <row r="947">
      <c r="D947" s="168"/>
      <c r="H947" s="169"/>
      <c r="I947" s="169"/>
    </row>
    <row r="948">
      <c r="D948" s="168"/>
      <c r="H948" s="169"/>
      <c r="I948" s="169"/>
    </row>
    <row r="949">
      <c r="D949" s="168"/>
      <c r="H949" s="169"/>
      <c r="I949" s="169"/>
    </row>
    <row r="950">
      <c r="D950" s="168"/>
      <c r="H950" s="169"/>
      <c r="I950" s="169"/>
    </row>
    <row r="951">
      <c r="D951" s="168"/>
      <c r="H951" s="169"/>
      <c r="I951" s="169"/>
    </row>
    <row r="952">
      <c r="D952" s="168"/>
      <c r="H952" s="169"/>
      <c r="I952" s="169"/>
    </row>
    <row r="953">
      <c r="D953" s="168"/>
      <c r="H953" s="169"/>
      <c r="I953" s="169"/>
    </row>
    <row r="954">
      <c r="D954" s="168"/>
      <c r="H954" s="169"/>
      <c r="I954" s="169"/>
    </row>
    <row r="955">
      <c r="D955" s="168"/>
      <c r="H955" s="169"/>
      <c r="I955" s="169"/>
    </row>
    <row r="956">
      <c r="D956" s="168"/>
      <c r="H956" s="169"/>
      <c r="I956" s="169"/>
    </row>
    <row r="957">
      <c r="D957" s="168"/>
      <c r="H957" s="169"/>
      <c r="I957" s="169"/>
    </row>
    <row r="958">
      <c r="D958" s="168"/>
      <c r="H958" s="169"/>
      <c r="I958" s="169"/>
    </row>
    <row r="959">
      <c r="D959" s="168"/>
      <c r="H959" s="169"/>
      <c r="I959" s="169"/>
    </row>
    <row r="960">
      <c r="D960" s="168"/>
      <c r="H960" s="169"/>
      <c r="I960" s="169"/>
    </row>
    <row r="961">
      <c r="D961" s="168"/>
      <c r="H961" s="169"/>
      <c r="I961" s="169"/>
    </row>
    <row r="962">
      <c r="D962" s="168"/>
      <c r="H962" s="169"/>
      <c r="I962" s="169"/>
    </row>
    <row r="963">
      <c r="D963" s="168"/>
      <c r="H963" s="169"/>
      <c r="I963" s="169"/>
    </row>
    <row r="964">
      <c r="D964" s="168"/>
      <c r="H964" s="169"/>
      <c r="I964" s="169"/>
    </row>
    <row r="965">
      <c r="D965" s="168"/>
      <c r="H965" s="169"/>
      <c r="I965" s="169"/>
    </row>
    <row r="966">
      <c r="D966" s="168"/>
      <c r="H966" s="169"/>
      <c r="I966" s="169"/>
    </row>
    <row r="967">
      <c r="D967" s="168"/>
      <c r="H967" s="169"/>
      <c r="I967" s="169"/>
    </row>
    <row r="968">
      <c r="D968" s="168"/>
      <c r="H968" s="169"/>
      <c r="I968" s="169"/>
    </row>
    <row r="969">
      <c r="D969" s="168"/>
      <c r="H969" s="169"/>
      <c r="I969" s="169"/>
    </row>
    <row r="970">
      <c r="D970" s="168"/>
      <c r="H970" s="169"/>
      <c r="I970" s="169"/>
    </row>
    <row r="971">
      <c r="D971" s="168"/>
      <c r="H971" s="169"/>
      <c r="I971" s="169"/>
    </row>
    <row r="972">
      <c r="D972" s="168"/>
      <c r="H972" s="169"/>
      <c r="I972" s="169"/>
    </row>
    <row r="973">
      <c r="D973" s="168"/>
      <c r="H973" s="169"/>
      <c r="I973" s="169"/>
    </row>
    <row r="974">
      <c r="D974" s="168"/>
      <c r="H974" s="169"/>
      <c r="I974" s="169"/>
    </row>
    <row r="975">
      <c r="D975" s="168"/>
      <c r="H975" s="169"/>
      <c r="I975" s="169"/>
    </row>
    <row r="976">
      <c r="D976" s="168"/>
      <c r="H976" s="169"/>
      <c r="I976" s="169"/>
    </row>
    <row r="977">
      <c r="D977" s="168"/>
      <c r="H977" s="169"/>
      <c r="I977" s="169"/>
    </row>
    <row r="978">
      <c r="D978" s="168"/>
      <c r="H978" s="169"/>
      <c r="I978" s="169"/>
    </row>
    <row r="979">
      <c r="D979" s="168"/>
      <c r="H979" s="169"/>
      <c r="I979" s="169"/>
    </row>
    <row r="980">
      <c r="D980" s="168"/>
      <c r="H980" s="169"/>
      <c r="I980" s="169"/>
    </row>
    <row r="981">
      <c r="D981" s="168"/>
      <c r="H981" s="169"/>
      <c r="I981" s="169"/>
    </row>
    <row r="982">
      <c r="D982" s="168"/>
      <c r="H982" s="169"/>
      <c r="I982" s="169"/>
    </row>
    <row r="983">
      <c r="D983" s="168"/>
      <c r="H983" s="169"/>
      <c r="I983" s="169"/>
    </row>
    <row r="984">
      <c r="D984" s="168"/>
      <c r="H984" s="169"/>
      <c r="I984" s="169"/>
    </row>
    <row r="985">
      <c r="D985" s="168"/>
      <c r="H985" s="169"/>
      <c r="I985" s="169"/>
    </row>
    <row r="986">
      <c r="D986" s="168"/>
      <c r="H986" s="169"/>
      <c r="I986" s="169"/>
    </row>
    <row r="987">
      <c r="D987" s="168"/>
      <c r="H987" s="169"/>
      <c r="I987" s="169"/>
    </row>
    <row r="988">
      <c r="D988" s="168"/>
      <c r="H988" s="169"/>
      <c r="I988" s="169"/>
    </row>
    <row r="989">
      <c r="D989" s="168"/>
      <c r="H989" s="169"/>
      <c r="I989" s="169"/>
    </row>
    <row r="990">
      <c r="D990" s="168"/>
      <c r="H990" s="169"/>
      <c r="I990" s="169"/>
    </row>
    <row r="991">
      <c r="D991" s="168"/>
      <c r="H991" s="169"/>
      <c r="I991" s="169"/>
    </row>
    <row r="992">
      <c r="D992" s="168"/>
      <c r="H992" s="169"/>
      <c r="I992" s="169"/>
    </row>
    <row r="993">
      <c r="D993" s="168"/>
      <c r="H993" s="169"/>
      <c r="I993" s="169"/>
    </row>
    <row r="994">
      <c r="D994" s="168"/>
      <c r="H994" s="169"/>
      <c r="I994" s="169"/>
    </row>
    <row r="995">
      <c r="D995" s="168"/>
      <c r="H995" s="169"/>
      <c r="I995" s="169"/>
    </row>
    <row r="996">
      <c r="D996" s="168"/>
      <c r="H996" s="169"/>
      <c r="I996" s="169"/>
    </row>
    <row r="997">
      <c r="D997" s="168"/>
      <c r="H997" s="169"/>
      <c r="I997" s="169"/>
    </row>
    <row r="998">
      <c r="D998" s="168"/>
      <c r="H998" s="169"/>
      <c r="I998" s="169"/>
    </row>
    <row r="999">
      <c r="D999" s="168"/>
      <c r="H999" s="169"/>
      <c r="I999" s="169"/>
    </row>
    <row r="1000">
      <c r="D1000" s="168"/>
      <c r="H1000" s="169"/>
      <c r="I1000" s="169"/>
    </row>
    <row r="1001">
      <c r="D1001" s="168"/>
      <c r="H1001" s="169"/>
      <c r="I1001" s="169"/>
    </row>
    <row r="1002">
      <c r="D1002" s="168"/>
      <c r="H1002" s="169"/>
      <c r="I1002" s="169"/>
    </row>
    <row r="1003">
      <c r="D1003" s="168"/>
      <c r="H1003" s="169"/>
      <c r="I1003" s="169"/>
    </row>
    <row r="1004">
      <c r="D1004" s="168"/>
      <c r="H1004" s="169"/>
      <c r="I1004" s="169"/>
    </row>
    <row r="1005">
      <c r="D1005" s="168"/>
      <c r="H1005" s="169"/>
      <c r="I1005" s="169"/>
    </row>
    <row r="1006">
      <c r="D1006" s="168"/>
      <c r="H1006" s="169"/>
      <c r="I1006" s="169"/>
    </row>
    <row r="1007">
      <c r="D1007" s="168"/>
      <c r="H1007" s="169"/>
      <c r="I1007" s="169"/>
    </row>
    <row r="1008">
      <c r="D1008" s="168"/>
      <c r="H1008" s="169"/>
      <c r="I1008" s="169"/>
    </row>
    <row r="1009">
      <c r="D1009" s="168"/>
      <c r="H1009" s="169"/>
      <c r="I1009" s="169"/>
    </row>
    <row r="1010">
      <c r="D1010" s="168"/>
      <c r="H1010" s="169"/>
      <c r="I1010" s="169"/>
    </row>
    <row r="1011">
      <c r="D1011" s="168"/>
      <c r="H1011" s="169"/>
      <c r="I1011" s="169"/>
    </row>
    <row r="1012">
      <c r="D1012" s="168"/>
      <c r="H1012" s="169"/>
      <c r="I1012" s="169"/>
    </row>
    <row r="1013">
      <c r="D1013" s="168"/>
      <c r="H1013" s="169"/>
      <c r="I1013" s="169"/>
    </row>
    <row r="1014">
      <c r="D1014" s="168"/>
      <c r="H1014" s="169"/>
      <c r="I1014" s="169"/>
    </row>
    <row r="1015">
      <c r="D1015" s="168"/>
      <c r="H1015" s="169"/>
      <c r="I1015" s="169"/>
    </row>
    <row r="1016">
      <c r="D1016" s="168"/>
      <c r="H1016" s="169"/>
      <c r="I1016" s="169"/>
    </row>
    <row r="1017">
      <c r="D1017" s="168"/>
      <c r="H1017" s="169"/>
      <c r="I1017" s="169"/>
    </row>
    <row r="1018">
      <c r="D1018" s="168"/>
      <c r="H1018" s="169"/>
      <c r="I1018" s="169"/>
    </row>
    <row r="1019">
      <c r="D1019" s="168"/>
      <c r="H1019" s="169"/>
      <c r="I1019" s="169"/>
    </row>
    <row r="1020">
      <c r="D1020" s="168"/>
      <c r="H1020" s="169"/>
      <c r="I1020" s="169"/>
    </row>
    <row r="1021">
      <c r="D1021" s="168"/>
      <c r="H1021" s="169"/>
      <c r="I1021" s="169"/>
    </row>
    <row r="1022">
      <c r="D1022" s="168"/>
      <c r="H1022" s="169"/>
      <c r="I1022" s="169"/>
    </row>
    <row r="1023">
      <c r="D1023" s="168"/>
      <c r="H1023" s="169"/>
      <c r="I1023" s="169"/>
    </row>
    <row r="1024">
      <c r="D1024" s="168"/>
      <c r="H1024" s="169"/>
      <c r="I1024" s="169"/>
    </row>
    <row r="1025">
      <c r="D1025" s="168"/>
      <c r="H1025" s="169"/>
      <c r="I1025" s="169"/>
    </row>
    <row r="1026">
      <c r="D1026" s="168"/>
      <c r="H1026" s="169"/>
      <c r="I1026" s="169"/>
    </row>
    <row r="1027">
      <c r="D1027" s="168"/>
      <c r="H1027" s="169"/>
      <c r="I1027" s="169"/>
    </row>
    <row r="1028">
      <c r="D1028" s="168"/>
      <c r="H1028" s="169"/>
      <c r="I1028" s="169"/>
    </row>
    <row r="1029">
      <c r="D1029" s="168"/>
      <c r="H1029" s="169"/>
      <c r="I1029" s="169"/>
    </row>
    <row r="1030">
      <c r="D1030" s="168"/>
      <c r="H1030" s="169"/>
      <c r="I1030" s="169"/>
    </row>
    <row r="1031">
      <c r="D1031" s="168"/>
      <c r="H1031" s="169"/>
      <c r="I1031" s="169"/>
    </row>
    <row r="1032">
      <c r="D1032" s="168"/>
      <c r="H1032" s="169"/>
      <c r="I1032" s="169"/>
    </row>
    <row r="1033">
      <c r="D1033" s="168"/>
      <c r="H1033" s="169"/>
      <c r="I1033" s="169"/>
    </row>
    <row r="1034">
      <c r="D1034" s="168"/>
      <c r="H1034" s="169"/>
      <c r="I1034" s="169"/>
    </row>
    <row r="1035">
      <c r="D1035" s="168"/>
      <c r="H1035" s="169"/>
      <c r="I1035" s="169"/>
    </row>
    <row r="1036">
      <c r="D1036" s="168"/>
      <c r="H1036" s="169"/>
      <c r="I1036" s="169"/>
    </row>
    <row r="1037">
      <c r="D1037" s="168"/>
      <c r="H1037" s="169"/>
      <c r="I1037" s="169"/>
    </row>
    <row r="1038">
      <c r="D1038" s="168"/>
      <c r="H1038" s="169"/>
      <c r="I1038" s="169"/>
    </row>
    <row r="1039">
      <c r="D1039" s="168"/>
      <c r="H1039" s="169"/>
      <c r="I1039" s="169"/>
    </row>
    <row r="1040">
      <c r="D1040" s="168"/>
      <c r="H1040" s="169"/>
      <c r="I1040" s="169"/>
    </row>
    <row r="1041">
      <c r="D1041" s="168"/>
      <c r="H1041" s="169"/>
      <c r="I1041" s="169"/>
    </row>
    <row r="1042">
      <c r="D1042" s="168"/>
      <c r="H1042" s="169"/>
      <c r="I1042" s="169"/>
    </row>
    <row r="1043">
      <c r="D1043" s="168"/>
      <c r="H1043" s="169"/>
      <c r="I1043" s="169"/>
    </row>
    <row r="1044">
      <c r="D1044" s="168"/>
      <c r="H1044" s="169"/>
      <c r="I1044" s="169"/>
    </row>
    <row r="1045">
      <c r="D1045" s="168"/>
      <c r="H1045" s="169"/>
      <c r="I1045" s="169"/>
    </row>
    <row r="1046">
      <c r="D1046" s="168"/>
      <c r="H1046" s="169"/>
      <c r="I1046" s="169"/>
    </row>
    <row r="1047">
      <c r="D1047" s="168"/>
      <c r="H1047" s="169"/>
      <c r="I1047" s="169"/>
    </row>
    <row r="1048">
      <c r="D1048" s="168"/>
      <c r="H1048" s="169"/>
      <c r="I1048" s="169"/>
    </row>
    <row r="1049">
      <c r="D1049" s="168"/>
      <c r="H1049" s="169"/>
      <c r="I1049" s="169"/>
    </row>
    <row r="1050">
      <c r="D1050" s="168"/>
      <c r="H1050" s="169"/>
      <c r="I1050" s="169"/>
    </row>
    <row r="1051">
      <c r="D1051" s="168"/>
      <c r="H1051" s="169"/>
      <c r="I1051" s="169"/>
    </row>
    <row r="1052">
      <c r="D1052" s="168"/>
      <c r="H1052" s="169"/>
      <c r="I1052" s="169"/>
    </row>
  </sheetData>
  <dataValidations>
    <dataValidation type="list" allowBlank="1" sqref="F2:F449">
      <formula1>"Service,Campaign,Deployment"</formula1>
    </dataValidation>
    <dataValidation type="list" allowBlank="1" sqref="J2:J449">
      <formula1>"Complete,Scheduled,In Process"</formula1>
    </dataValidation>
    <dataValidation type="custom" allowBlank="1" showDropDown="1" sqref="A2:A449">
      <formula1>AND(ISNUMBER(A2),(NOT(OR(NOT(ISERROR(DATEVALUE(A2))), AND(ISNUMBER(A2), LEFT(CELL("format", A2))="D")))))</formula1>
    </dataValidation>
    <dataValidation type="list" allowBlank="1" sqref="H2:H449">
      <formula1>"Handle,Firmware,E-Stops,Blue Safety Light,HMI,PM,RGo,Motor,SLA System,Battery,Safety System,Body / Trim"</formula1>
    </dataValidation>
    <dataValidation type="list" allowBlank="1" sqref="G2:G449">
      <formula1>"Top Module,Platform,Platform, Top Module,Preventative Maintenance,Battery"</formula1>
    </dataValidation>
    <dataValidation type="list" allowBlank="1" sqref="L2:L449">
      <formula1>"In Service,Out of Service"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25"/>
    <col customWidth="1" min="2" max="2" width="13.5"/>
    <col customWidth="1" min="3" max="3" width="19.5"/>
    <col customWidth="1" min="4" max="4" width="21.63"/>
    <col customWidth="1" min="5" max="5" width="25.13"/>
    <col customWidth="1" min="6" max="7" width="18.25"/>
    <col customWidth="1" min="8" max="9" width="21.38"/>
    <col customWidth="1" min="10" max="10" width="16.88"/>
    <col customWidth="1" min="11" max="11" width="17.75"/>
    <col customWidth="1" min="12" max="12" width="32.88"/>
    <col customWidth="1" min="13" max="13" width="38.38"/>
    <col customWidth="1" min="15" max="15" width="27.13"/>
  </cols>
  <sheetData>
    <row r="1">
      <c r="A1" s="170" t="s">
        <v>95</v>
      </c>
      <c r="B1" s="170" t="s">
        <v>96</v>
      </c>
      <c r="C1" s="171" t="s">
        <v>119</v>
      </c>
      <c r="D1" s="172" t="s">
        <v>98</v>
      </c>
      <c r="E1" s="170" t="s">
        <v>99</v>
      </c>
      <c r="F1" s="173" t="s">
        <v>100</v>
      </c>
      <c r="G1" s="173" t="s">
        <v>101</v>
      </c>
      <c r="H1" s="174" t="s">
        <v>102</v>
      </c>
      <c r="I1" s="174" t="s">
        <v>103</v>
      </c>
      <c r="J1" s="173" t="s">
        <v>27</v>
      </c>
      <c r="K1" s="175" t="s">
        <v>105</v>
      </c>
      <c r="L1" s="175" t="s">
        <v>104</v>
      </c>
      <c r="M1" s="173" t="s">
        <v>120</v>
      </c>
      <c r="N1" s="176" t="s">
        <v>109</v>
      </c>
      <c r="O1" s="173" t="s">
        <v>111</v>
      </c>
      <c r="P1" s="177" t="s">
        <v>121</v>
      </c>
      <c r="Q1" s="177" t="s">
        <v>113</v>
      </c>
    </row>
    <row r="2">
      <c r="A2" s="178">
        <v>414.0</v>
      </c>
      <c r="B2" s="179" t="s">
        <v>11</v>
      </c>
      <c r="C2" s="180"/>
      <c r="D2" s="181" t="s">
        <v>122</v>
      </c>
      <c r="E2" s="182" t="s">
        <v>123</v>
      </c>
      <c r="F2" s="183" t="s">
        <v>124</v>
      </c>
      <c r="G2" s="184" t="s">
        <v>125</v>
      </c>
      <c r="H2" s="185" t="s">
        <v>126</v>
      </c>
      <c r="I2" s="185" t="s">
        <v>127</v>
      </c>
      <c r="J2" s="177" t="s">
        <v>117</v>
      </c>
      <c r="K2" s="186">
        <v>45736.0</v>
      </c>
      <c r="L2" s="187"/>
      <c r="M2" s="183" t="s">
        <v>128</v>
      </c>
      <c r="N2" s="183">
        <v>14.0</v>
      </c>
      <c r="O2" s="188"/>
      <c r="P2" s="188"/>
      <c r="Q2" s="188"/>
    </row>
    <row r="3">
      <c r="A3" s="189">
        <v>414.0</v>
      </c>
      <c r="B3" s="190" t="s">
        <v>11</v>
      </c>
      <c r="C3" s="191"/>
      <c r="D3" s="192"/>
      <c r="E3" s="191"/>
      <c r="F3" s="183" t="s">
        <v>124</v>
      </c>
      <c r="G3" s="190" t="s">
        <v>129</v>
      </c>
      <c r="H3" s="193" t="s">
        <v>130</v>
      </c>
      <c r="I3" s="194" t="s">
        <v>131</v>
      </c>
      <c r="J3" s="177" t="s">
        <v>117</v>
      </c>
      <c r="K3" s="195">
        <v>45789.0</v>
      </c>
      <c r="L3" s="196"/>
      <c r="M3" s="188"/>
      <c r="N3" s="177">
        <v>25.0</v>
      </c>
      <c r="O3" s="183" t="s">
        <v>132</v>
      </c>
      <c r="P3" s="188"/>
      <c r="Q3" s="188"/>
    </row>
    <row r="4">
      <c r="A4" s="197">
        <v>414.0</v>
      </c>
      <c r="B4" s="198" t="s">
        <v>11</v>
      </c>
      <c r="C4" s="199"/>
      <c r="D4" s="200"/>
      <c r="E4" s="199"/>
      <c r="F4" s="183" t="s">
        <v>124</v>
      </c>
      <c r="G4" s="194" t="s">
        <v>133</v>
      </c>
      <c r="H4" s="93" t="s">
        <v>134</v>
      </c>
      <c r="I4" s="93" t="s">
        <v>135</v>
      </c>
      <c r="J4" s="177" t="s">
        <v>117</v>
      </c>
      <c r="K4" s="186">
        <v>45790.0</v>
      </c>
      <c r="L4" s="187"/>
      <c r="M4" s="183"/>
      <c r="N4" s="183">
        <v>75.0</v>
      </c>
      <c r="O4" s="183" t="s">
        <v>136</v>
      </c>
      <c r="P4" s="188"/>
      <c r="Q4" s="188"/>
    </row>
    <row r="5">
      <c r="A5" s="201">
        <v>414.0</v>
      </c>
      <c r="B5" s="202" t="s">
        <v>11</v>
      </c>
      <c r="C5" s="203"/>
      <c r="D5" s="202"/>
      <c r="E5" s="204"/>
      <c r="F5" s="202" t="s">
        <v>137</v>
      </c>
      <c r="G5" s="202" t="s">
        <v>129</v>
      </c>
      <c r="H5" s="193" t="s">
        <v>138</v>
      </c>
      <c r="I5" s="193" t="s">
        <v>139</v>
      </c>
      <c r="J5" s="177" t="s">
        <v>117</v>
      </c>
      <c r="K5" s="195">
        <v>45796.0</v>
      </c>
      <c r="L5" s="196"/>
      <c r="M5" s="205" t="s">
        <v>140</v>
      </c>
      <c r="N5" s="177">
        <v>6.0</v>
      </c>
      <c r="O5" s="183" t="s">
        <v>141</v>
      </c>
      <c r="P5" s="188"/>
      <c r="Q5" s="188"/>
    </row>
    <row r="6">
      <c r="A6" s="189">
        <v>414.0</v>
      </c>
      <c r="B6" s="190" t="s">
        <v>11</v>
      </c>
      <c r="C6" s="203"/>
      <c r="D6" s="202"/>
      <c r="E6" s="204"/>
      <c r="F6" s="183" t="s">
        <v>124</v>
      </c>
      <c r="G6" s="202" t="s">
        <v>129</v>
      </c>
      <c r="H6" s="193" t="s">
        <v>130</v>
      </c>
      <c r="I6" s="193" t="s">
        <v>142</v>
      </c>
      <c r="J6" s="177" t="s">
        <v>117</v>
      </c>
      <c r="K6" s="195">
        <v>45818.0</v>
      </c>
      <c r="L6" s="196"/>
      <c r="M6" s="205" t="s">
        <v>143</v>
      </c>
      <c r="N6" s="177">
        <v>15.0</v>
      </c>
      <c r="O6" s="183"/>
      <c r="P6" s="188"/>
      <c r="Q6" s="188"/>
    </row>
    <row r="7">
      <c r="A7" s="189">
        <v>414.0</v>
      </c>
      <c r="B7" s="190" t="s">
        <v>11</v>
      </c>
      <c r="C7" s="203"/>
      <c r="D7" s="202"/>
      <c r="E7" s="204"/>
      <c r="F7" s="183" t="s">
        <v>124</v>
      </c>
      <c r="G7" s="183" t="s">
        <v>125</v>
      </c>
      <c r="H7" s="193" t="s">
        <v>130</v>
      </c>
      <c r="I7" s="193" t="s">
        <v>144</v>
      </c>
      <c r="J7" s="177" t="s">
        <v>117</v>
      </c>
      <c r="K7" s="195">
        <v>45818.0</v>
      </c>
      <c r="L7" s="196"/>
      <c r="M7" s="205" t="s">
        <v>145</v>
      </c>
      <c r="N7" s="177">
        <v>5.0</v>
      </c>
      <c r="O7" s="183"/>
      <c r="P7" s="188"/>
      <c r="Q7" s="188"/>
    </row>
    <row r="8">
      <c r="A8" s="189">
        <v>414.0</v>
      </c>
      <c r="B8" s="190" t="s">
        <v>11</v>
      </c>
      <c r="C8" s="203"/>
      <c r="D8" s="202"/>
      <c r="E8" s="204"/>
      <c r="F8" s="183" t="s">
        <v>124</v>
      </c>
      <c r="G8" s="183" t="s">
        <v>125</v>
      </c>
      <c r="H8" s="193" t="s">
        <v>146</v>
      </c>
      <c r="I8" s="193" t="s">
        <v>147</v>
      </c>
      <c r="J8" s="177" t="s">
        <v>117</v>
      </c>
      <c r="K8" s="195">
        <v>45818.0</v>
      </c>
      <c r="L8" s="177" t="s">
        <v>118</v>
      </c>
      <c r="M8" s="205" t="s">
        <v>148</v>
      </c>
      <c r="N8" s="177">
        <v>8.0</v>
      </c>
      <c r="O8" s="183" t="s">
        <v>149</v>
      </c>
      <c r="P8" s="188"/>
      <c r="Q8" s="188"/>
    </row>
    <row r="9">
      <c r="A9" s="206">
        <v>414.0</v>
      </c>
      <c r="B9" s="179" t="s">
        <v>11</v>
      </c>
      <c r="C9" s="207">
        <v>45702.0</v>
      </c>
      <c r="D9" s="181" t="s">
        <v>150</v>
      </c>
      <c r="E9" s="208" t="s">
        <v>123</v>
      </c>
      <c r="F9" s="202" t="s">
        <v>116</v>
      </c>
      <c r="G9" s="209"/>
      <c r="H9" s="210"/>
      <c r="I9" s="193"/>
      <c r="J9" s="196"/>
      <c r="K9" s="195"/>
      <c r="L9" s="196"/>
      <c r="M9" s="205"/>
      <c r="N9" s="211"/>
      <c r="O9" s="183"/>
      <c r="P9" s="188"/>
      <c r="Q9" s="188"/>
    </row>
    <row r="10">
      <c r="A10" s="206">
        <v>415.0</v>
      </c>
      <c r="B10" s="179" t="s">
        <v>11</v>
      </c>
      <c r="C10" s="180"/>
      <c r="D10" s="181" t="s">
        <v>122</v>
      </c>
      <c r="E10" s="182" t="s">
        <v>123</v>
      </c>
      <c r="F10" s="183" t="s">
        <v>124</v>
      </c>
      <c r="G10" s="183" t="s">
        <v>125</v>
      </c>
      <c r="H10" s="185" t="s">
        <v>126</v>
      </c>
      <c r="I10" s="185" t="s">
        <v>127</v>
      </c>
      <c r="J10" s="177" t="s">
        <v>117</v>
      </c>
      <c r="K10" s="186">
        <v>45736.0</v>
      </c>
      <c r="L10" s="187"/>
      <c r="M10" s="183" t="s">
        <v>151</v>
      </c>
      <c r="N10" s="183">
        <v>15.0</v>
      </c>
      <c r="O10" s="188"/>
      <c r="P10" s="188"/>
      <c r="Q10" s="188"/>
    </row>
    <row r="11">
      <c r="A11" s="212">
        <v>415.0</v>
      </c>
      <c r="B11" s="198" t="s">
        <v>11</v>
      </c>
      <c r="C11" s="199"/>
      <c r="D11" s="200"/>
      <c r="E11" s="199"/>
      <c r="F11" s="202" t="s">
        <v>137</v>
      </c>
      <c r="G11" s="183" t="s">
        <v>125</v>
      </c>
      <c r="H11" s="93" t="s">
        <v>152</v>
      </c>
      <c r="I11" s="93" t="s">
        <v>153</v>
      </c>
      <c r="J11" s="177" t="s">
        <v>117</v>
      </c>
      <c r="K11" s="186">
        <v>45778.0</v>
      </c>
      <c r="L11" s="187"/>
      <c r="M11" s="183" t="s">
        <v>154</v>
      </c>
      <c r="N11" s="183">
        <v>60.0</v>
      </c>
      <c r="O11" s="183" t="s">
        <v>155</v>
      </c>
      <c r="P11" s="213"/>
      <c r="Q11" s="213"/>
    </row>
    <row r="12">
      <c r="A12" s="212">
        <v>415.0</v>
      </c>
      <c r="B12" s="198" t="s">
        <v>11</v>
      </c>
      <c r="C12" s="199"/>
      <c r="D12" s="200"/>
      <c r="E12" s="199"/>
      <c r="F12" s="202" t="s">
        <v>137</v>
      </c>
      <c r="G12" s="93" t="s">
        <v>156</v>
      </c>
      <c r="H12" s="93" t="s">
        <v>157</v>
      </c>
      <c r="I12" s="93" t="s">
        <v>156</v>
      </c>
      <c r="J12" s="177" t="s">
        <v>117</v>
      </c>
      <c r="K12" s="186">
        <v>45778.0</v>
      </c>
      <c r="L12" s="187"/>
      <c r="M12" s="183" t="s">
        <v>158</v>
      </c>
      <c r="N12" s="183">
        <v>20.0</v>
      </c>
      <c r="O12" s="183" t="s">
        <v>159</v>
      </c>
      <c r="P12" s="213"/>
      <c r="Q12" s="213"/>
    </row>
    <row r="13">
      <c r="A13" s="214">
        <v>415.0</v>
      </c>
      <c r="B13" s="190" t="s">
        <v>11</v>
      </c>
      <c r="C13" s="191"/>
      <c r="D13" s="192"/>
      <c r="E13" s="191"/>
      <c r="F13" s="183" t="s">
        <v>124</v>
      </c>
      <c r="G13" s="190" t="s">
        <v>129</v>
      </c>
      <c r="H13" s="193" t="s">
        <v>130</v>
      </c>
      <c r="I13" s="194" t="s">
        <v>131</v>
      </c>
      <c r="J13" s="177" t="s">
        <v>117</v>
      </c>
      <c r="K13" s="195">
        <v>45789.0</v>
      </c>
      <c r="L13" s="196"/>
      <c r="M13" s="188"/>
      <c r="N13" s="177">
        <v>25.0</v>
      </c>
      <c r="O13" s="183" t="s">
        <v>132</v>
      </c>
      <c r="P13" s="188"/>
      <c r="Q13" s="188"/>
    </row>
    <row r="14">
      <c r="A14" s="212">
        <v>415.0</v>
      </c>
      <c r="B14" s="198" t="s">
        <v>11</v>
      </c>
      <c r="C14" s="199"/>
      <c r="D14" s="200"/>
      <c r="E14" s="199"/>
      <c r="F14" s="183" t="s">
        <v>124</v>
      </c>
      <c r="G14" s="194" t="s">
        <v>133</v>
      </c>
      <c r="H14" s="93" t="s">
        <v>134</v>
      </c>
      <c r="I14" s="93" t="s">
        <v>135</v>
      </c>
      <c r="J14" s="177" t="s">
        <v>117</v>
      </c>
      <c r="K14" s="186">
        <v>45790.0</v>
      </c>
      <c r="L14" s="187"/>
      <c r="M14" s="183"/>
      <c r="N14" s="183">
        <v>75.0</v>
      </c>
      <c r="O14" s="183" t="s">
        <v>136</v>
      </c>
      <c r="P14" s="188"/>
      <c r="Q14" s="188"/>
    </row>
    <row r="15">
      <c r="A15" s="212">
        <v>415.0</v>
      </c>
      <c r="B15" s="198" t="s">
        <v>11</v>
      </c>
      <c r="C15" s="199"/>
      <c r="D15" s="200"/>
      <c r="E15" s="199"/>
      <c r="F15" s="202" t="s">
        <v>137</v>
      </c>
      <c r="G15" s="194" t="s">
        <v>129</v>
      </c>
      <c r="H15" s="93" t="s">
        <v>160</v>
      </c>
      <c r="I15" s="93" t="s">
        <v>161</v>
      </c>
      <c r="J15" s="177" t="s">
        <v>162</v>
      </c>
      <c r="K15" s="186"/>
      <c r="L15" s="187"/>
      <c r="M15" s="183"/>
      <c r="N15" s="213"/>
      <c r="O15" s="183"/>
      <c r="P15" s="188"/>
      <c r="Q15" s="188"/>
    </row>
    <row r="16">
      <c r="A16" s="203">
        <v>415.0</v>
      </c>
      <c r="B16" s="202" t="s">
        <v>11</v>
      </c>
      <c r="C16" s="203"/>
      <c r="D16" s="202"/>
      <c r="E16" s="204"/>
      <c r="F16" s="202" t="s">
        <v>137</v>
      </c>
      <c r="G16" s="202" t="s">
        <v>129</v>
      </c>
      <c r="H16" s="193" t="s">
        <v>138</v>
      </c>
      <c r="I16" s="193" t="s">
        <v>139</v>
      </c>
      <c r="J16" s="177" t="s">
        <v>162</v>
      </c>
      <c r="K16" s="195"/>
      <c r="L16" s="196"/>
      <c r="M16" s="205"/>
      <c r="N16" s="211"/>
      <c r="O16" s="183"/>
      <c r="P16" s="188"/>
      <c r="Q16" s="188"/>
    </row>
    <row r="17">
      <c r="A17" s="214">
        <v>415.0</v>
      </c>
      <c r="B17" s="190" t="s">
        <v>11</v>
      </c>
      <c r="C17" s="203"/>
      <c r="D17" s="202"/>
      <c r="E17" s="204"/>
      <c r="F17" s="183" t="s">
        <v>124</v>
      </c>
      <c r="G17" s="202" t="s">
        <v>129</v>
      </c>
      <c r="H17" s="193" t="s">
        <v>130</v>
      </c>
      <c r="I17" s="193" t="s">
        <v>142</v>
      </c>
      <c r="J17" s="177" t="s">
        <v>117</v>
      </c>
      <c r="K17" s="195">
        <v>45818.0</v>
      </c>
      <c r="L17" s="196"/>
      <c r="M17" s="205" t="s">
        <v>143</v>
      </c>
      <c r="N17" s="177">
        <v>15.0</v>
      </c>
      <c r="O17" s="183"/>
      <c r="P17" s="188"/>
      <c r="Q17" s="188"/>
    </row>
    <row r="18">
      <c r="A18" s="214">
        <v>415.0</v>
      </c>
      <c r="B18" s="190" t="s">
        <v>11</v>
      </c>
      <c r="C18" s="203"/>
      <c r="D18" s="202"/>
      <c r="E18" s="204"/>
      <c r="F18" s="183" t="s">
        <v>124</v>
      </c>
      <c r="G18" s="183" t="s">
        <v>125</v>
      </c>
      <c r="H18" s="193" t="s">
        <v>130</v>
      </c>
      <c r="I18" s="193" t="s">
        <v>144</v>
      </c>
      <c r="J18" s="177" t="s">
        <v>117</v>
      </c>
      <c r="K18" s="195">
        <v>45818.0</v>
      </c>
      <c r="L18" s="196"/>
      <c r="M18" s="205" t="s">
        <v>145</v>
      </c>
      <c r="N18" s="177">
        <v>5.0</v>
      </c>
      <c r="O18" s="183"/>
      <c r="P18" s="188"/>
      <c r="Q18" s="188"/>
    </row>
    <row r="19">
      <c r="A19" s="214">
        <v>415.0</v>
      </c>
      <c r="B19" s="190" t="s">
        <v>11</v>
      </c>
      <c r="C19" s="203"/>
      <c r="D19" s="202"/>
      <c r="E19" s="204"/>
      <c r="F19" s="183" t="s">
        <v>124</v>
      </c>
      <c r="G19" s="183" t="s">
        <v>125</v>
      </c>
      <c r="H19" s="193" t="s">
        <v>146</v>
      </c>
      <c r="I19" s="193" t="s">
        <v>147</v>
      </c>
      <c r="J19" s="177" t="s">
        <v>117</v>
      </c>
      <c r="K19" s="195">
        <v>45818.0</v>
      </c>
      <c r="L19" s="177" t="s">
        <v>118</v>
      </c>
      <c r="M19" s="205" t="s">
        <v>148</v>
      </c>
      <c r="N19" s="177">
        <v>8.0</v>
      </c>
      <c r="O19" s="183" t="s">
        <v>149</v>
      </c>
      <c r="P19" s="188"/>
      <c r="Q19" s="188"/>
    </row>
    <row r="20">
      <c r="A20" s="206">
        <v>415.0</v>
      </c>
      <c r="B20" s="179" t="s">
        <v>11</v>
      </c>
      <c r="C20" s="207">
        <v>45702.0</v>
      </c>
      <c r="D20" s="181" t="s">
        <v>163</v>
      </c>
      <c r="E20" s="182" t="s">
        <v>123</v>
      </c>
      <c r="F20" s="202" t="s">
        <v>116</v>
      </c>
      <c r="G20" s="209"/>
      <c r="H20" s="210"/>
      <c r="I20" s="193"/>
      <c r="J20" s="196"/>
      <c r="K20" s="195"/>
      <c r="L20" s="196"/>
      <c r="M20" s="205"/>
      <c r="N20" s="211"/>
      <c r="O20" s="183"/>
      <c r="P20" s="188"/>
      <c r="Q20" s="188"/>
    </row>
    <row r="21">
      <c r="A21" s="206">
        <v>416.0</v>
      </c>
      <c r="B21" s="179" t="s">
        <v>11</v>
      </c>
      <c r="C21" s="180"/>
      <c r="D21" s="181" t="s">
        <v>122</v>
      </c>
      <c r="E21" s="182" t="s">
        <v>123</v>
      </c>
      <c r="F21" s="183" t="s">
        <v>124</v>
      </c>
      <c r="G21" s="183" t="s">
        <v>125</v>
      </c>
      <c r="H21" s="185" t="s">
        <v>126</v>
      </c>
      <c r="I21" s="185" t="s">
        <v>127</v>
      </c>
      <c r="J21" s="177" t="s">
        <v>117</v>
      </c>
      <c r="K21" s="186">
        <v>45737.0</v>
      </c>
      <c r="L21" s="187"/>
      <c r="M21" s="183" t="s">
        <v>164</v>
      </c>
      <c r="N21" s="183">
        <v>23.0</v>
      </c>
      <c r="O21" s="188"/>
      <c r="P21" s="188"/>
      <c r="Q21" s="188"/>
    </row>
    <row r="22">
      <c r="A22" s="214">
        <v>416.0</v>
      </c>
      <c r="B22" s="190" t="s">
        <v>11</v>
      </c>
      <c r="C22" s="191"/>
      <c r="D22" s="192"/>
      <c r="E22" s="191"/>
      <c r="F22" s="183" t="s">
        <v>124</v>
      </c>
      <c r="G22" s="190" t="s">
        <v>129</v>
      </c>
      <c r="H22" s="193" t="s">
        <v>130</v>
      </c>
      <c r="I22" s="194" t="s">
        <v>131</v>
      </c>
      <c r="J22" s="177" t="s">
        <v>117</v>
      </c>
      <c r="K22" s="195">
        <v>45789.0</v>
      </c>
      <c r="L22" s="211"/>
      <c r="M22" s="188"/>
      <c r="N22" s="177">
        <v>25.0</v>
      </c>
      <c r="O22" s="183" t="s">
        <v>165</v>
      </c>
      <c r="P22" s="188"/>
      <c r="Q22" s="188"/>
    </row>
    <row r="23">
      <c r="A23" s="212">
        <v>416.0</v>
      </c>
      <c r="B23" s="198" t="s">
        <v>11</v>
      </c>
      <c r="C23" s="199"/>
      <c r="D23" s="200"/>
      <c r="E23" s="199"/>
      <c r="F23" s="183" t="s">
        <v>124</v>
      </c>
      <c r="G23" s="194" t="s">
        <v>133</v>
      </c>
      <c r="H23" s="93" t="s">
        <v>134</v>
      </c>
      <c r="I23" s="93" t="s">
        <v>324</v>
      </c>
      <c r="J23" s="177" t="s">
        <v>117</v>
      </c>
      <c r="K23" s="186">
        <v>45790.0</v>
      </c>
      <c r="L23" s="187"/>
      <c r="M23" s="183"/>
      <c r="N23" s="183">
        <v>75.0</v>
      </c>
      <c r="O23" s="183" t="s">
        <v>136</v>
      </c>
      <c r="P23" s="188"/>
      <c r="Q23" s="188"/>
    </row>
    <row r="24">
      <c r="A24" s="212">
        <v>416.0</v>
      </c>
      <c r="B24" s="198" t="s">
        <v>11</v>
      </c>
      <c r="C24" s="199"/>
      <c r="D24" s="200"/>
      <c r="E24" s="199"/>
      <c r="F24" s="202" t="s">
        <v>137</v>
      </c>
      <c r="G24" s="194" t="s">
        <v>129</v>
      </c>
      <c r="H24" s="93" t="s">
        <v>160</v>
      </c>
      <c r="I24" s="215" t="s">
        <v>167</v>
      </c>
      <c r="J24" s="177" t="s">
        <v>117</v>
      </c>
      <c r="K24" s="186">
        <v>45790.0</v>
      </c>
      <c r="L24" s="187"/>
      <c r="M24" s="183" t="s">
        <v>168</v>
      </c>
      <c r="N24" s="183">
        <v>25.0</v>
      </c>
      <c r="O24" s="183" t="s">
        <v>169</v>
      </c>
      <c r="P24" s="188"/>
      <c r="Q24" s="188"/>
    </row>
    <row r="25">
      <c r="A25" s="212">
        <v>416.0</v>
      </c>
      <c r="B25" s="198" t="s">
        <v>11</v>
      </c>
      <c r="C25" s="199"/>
      <c r="D25" s="200"/>
      <c r="E25" s="199"/>
      <c r="F25" s="202" t="s">
        <v>137</v>
      </c>
      <c r="G25" s="194" t="s">
        <v>129</v>
      </c>
      <c r="H25" s="93" t="s">
        <v>160</v>
      </c>
      <c r="I25" s="216" t="s">
        <v>170</v>
      </c>
      <c r="J25" s="177" t="s">
        <v>117</v>
      </c>
      <c r="K25" s="186">
        <v>45790.0</v>
      </c>
      <c r="L25" s="187"/>
      <c r="M25" s="183" t="s">
        <v>171</v>
      </c>
      <c r="N25" s="183">
        <v>15.0</v>
      </c>
      <c r="O25" s="183" t="s">
        <v>172</v>
      </c>
      <c r="P25" s="188"/>
      <c r="Q25" s="188"/>
    </row>
    <row r="26">
      <c r="A26" s="203">
        <v>416.0</v>
      </c>
      <c r="B26" s="202" t="s">
        <v>11</v>
      </c>
      <c r="C26" s="203"/>
      <c r="D26" s="202"/>
      <c r="E26" s="204"/>
      <c r="F26" s="202" t="s">
        <v>137</v>
      </c>
      <c r="G26" s="202" t="s">
        <v>129</v>
      </c>
      <c r="H26" s="193" t="s">
        <v>138</v>
      </c>
      <c r="I26" s="193" t="s">
        <v>139</v>
      </c>
      <c r="J26" s="177" t="s">
        <v>117</v>
      </c>
      <c r="K26" s="195">
        <v>45796.0</v>
      </c>
      <c r="L26" s="177" t="s">
        <v>118</v>
      </c>
      <c r="M26" s="205" t="s">
        <v>140</v>
      </c>
      <c r="N26" s="177">
        <v>6.0</v>
      </c>
      <c r="O26" s="183" t="s">
        <v>141</v>
      </c>
      <c r="P26" s="188"/>
      <c r="Q26" s="188"/>
    </row>
    <row r="27">
      <c r="A27" s="217">
        <v>416.0</v>
      </c>
      <c r="B27" s="198" t="s">
        <v>11</v>
      </c>
      <c r="C27" s="218"/>
      <c r="D27" s="200"/>
      <c r="E27" s="198"/>
      <c r="F27" s="202" t="s">
        <v>137</v>
      </c>
      <c r="G27" s="219" t="s">
        <v>129</v>
      </c>
      <c r="H27" s="93" t="s">
        <v>160</v>
      </c>
      <c r="I27" s="93" t="s">
        <v>173</v>
      </c>
      <c r="J27" s="177" t="s">
        <v>117</v>
      </c>
      <c r="K27" s="186">
        <v>45782.0</v>
      </c>
      <c r="L27" s="187"/>
      <c r="M27" s="183" t="s">
        <v>174</v>
      </c>
      <c r="N27" s="183">
        <v>25.0</v>
      </c>
      <c r="O27" s="188"/>
      <c r="P27" s="188"/>
      <c r="Q27" s="188"/>
    </row>
    <row r="28">
      <c r="A28" s="217">
        <v>416.0</v>
      </c>
      <c r="B28" s="198" t="s">
        <v>11</v>
      </c>
      <c r="C28" s="218"/>
      <c r="D28" s="200"/>
      <c r="E28" s="198"/>
      <c r="F28" s="202" t="s">
        <v>137</v>
      </c>
      <c r="G28" s="183" t="s">
        <v>125</v>
      </c>
      <c r="H28" s="193" t="s">
        <v>146</v>
      </c>
      <c r="I28" s="220" t="s">
        <v>91</v>
      </c>
      <c r="J28" s="177" t="s">
        <v>162</v>
      </c>
      <c r="K28" s="186"/>
      <c r="L28" s="187"/>
      <c r="M28" s="183"/>
      <c r="N28" s="183">
        <v>11.0</v>
      </c>
      <c r="O28" s="188"/>
      <c r="P28" s="188"/>
      <c r="Q28" s="188"/>
    </row>
    <row r="29">
      <c r="A29" s="214">
        <v>416.0</v>
      </c>
      <c r="B29" s="190" t="s">
        <v>11</v>
      </c>
      <c r="C29" s="203"/>
      <c r="D29" s="202"/>
      <c r="E29" s="204"/>
      <c r="F29" s="183" t="s">
        <v>124</v>
      </c>
      <c r="G29" s="202" t="s">
        <v>129</v>
      </c>
      <c r="H29" s="193" t="s">
        <v>130</v>
      </c>
      <c r="I29" s="193" t="s">
        <v>142</v>
      </c>
      <c r="J29" s="177" t="s">
        <v>117</v>
      </c>
      <c r="K29" s="195">
        <v>45818.0</v>
      </c>
      <c r="L29" s="196"/>
      <c r="M29" s="205" t="s">
        <v>143</v>
      </c>
      <c r="N29" s="177">
        <v>15.0</v>
      </c>
      <c r="O29" s="183"/>
      <c r="P29" s="188"/>
      <c r="Q29" s="188"/>
    </row>
    <row r="30">
      <c r="A30" s="214">
        <v>416.0</v>
      </c>
      <c r="B30" s="190" t="s">
        <v>11</v>
      </c>
      <c r="C30" s="203"/>
      <c r="D30" s="202"/>
      <c r="E30" s="204"/>
      <c r="F30" s="183" t="s">
        <v>124</v>
      </c>
      <c r="G30" s="183" t="s">
        <v>125</v>
      </c>
      <c r="H30" s="193" t="s">
        <v>130</v>
      </c>
      <c r="I30" s="193" t="s">
        <v>144</v>
      </c>
      <c r="J30" s="177" t="s">
        <v>117</v>
      </c>
      <c r="K30" s="195">
        <v>45818.0</v>
      </c>
      <c r="L30" s="196"/>
      <c r="M30" s="205" t="s">
        <v>145</v>
      </c>
      <c r="N30" s="177">
        <v>5.0</v>
      </c>
      <c r="O30" s="183"/>
      <c r="P30" s="188"/>
      <c r="Q30" s="188"/>
    </row>
    <row r="31">
      <c r="A31" s="214">
        <v>416.0</v>
      </c>
      <c r="B31" s="190" t="s">
        <v>11</v>
      </c>
      <c r="C31" s="203"/>
      <c r="D31" s="202"/>
      <c r="E31" s="204"/>
      <c r="F31" s="183" t="s">
        <v>124</v>
      </c>
      <c r="G31" s="183" t="s">
        <v>125</v>
      </c>
      <c r="H31" s="193" t="s">
        <v>146</v>
      </c>
      <c r="I31" s="193" t="s">
        <v>147</v>
      </c>
      <c r="J31" s="177" t="s">
        <v>117</v>
      </c>
      <c r="K31" s="195">
        <v>45818.0</v>
      </c>
      <c r="L31" s="177" t="s">
        <v>118</v>
      </c>
      <c r="M31" s="205" t="s">
        <v>148</v>
      </c>
      <c r="N31" s="177">
        <v>8.0</v>
      </c>
      <c r="O31" s="183" t="s">
        <v>149</v>
      </c>
      <c r="P31" s="188"/>
      <c r="Q31" s="188"/>
    </row>
    <row r="32">
      <c r="A32" s="206">
        <v>416.0</v>
      </c>
      <c r="B32" s="179" t="s">
        <v>11</v>
      </c>
      <c r="C32" s="207">
        <v>45702.0</v>
      </c>
      <c r="D32" s="181" t="s">
        <v>175</v>
      </c>
      <c r="E32" s="182" t="s">
        <v>123</v>
      </c>
      <c r="F32" s="202" t="s">
        <v>116</v>
      </c>
      <c r="G32" s="209"/>
      <c r="H32" s="210"/>
      <c r="I32" s="193"/>
      <c r="J32" s="196"/>
      <c r="K32" s="195"/>
      <c r="L32" s="196"/>
      <c r="M32" s="205"/>
      <c r="N32" s="211"/>
      <c r="O32" s="183"/>
      <c r="P32" s="188"/>
      <c r="Q32" s="188"/>
    </row>
    <row r="33">
      <c r="A33" s="217">
        <v>417.0</v>
      </c>
      <c r="B33" s="179" t="s">
        <v>11</v>
      </c>
      <c r="C33" s="180"/>
      <c r="D33" s="181"/>
      <c r="E33" s="182"/>
      <c r="F33" s="183" t="s">
        <v>124</v>
      </c>
      <c r="G33" s="183" t="s">
        <v>125</v>
      </c>
      <c r="H33" s="185" t="s">
        <v>126</v>
      </c>
      <c r="I33" s="221" t="s">
        <v>127</v>
      </c>
      <c r="J33" s="177" t="s">
        <v>117</v>
      </c>
      <c r="K33" s="186">
        <v>45736.0</v>
      </c>
      <c r="L33" s="187"/>
      <c r="M33" s="183" t="s">
        <v>176</v>
      </c>
      <c r="N33" s="183">
        <v>12.0</v>
      </c>
      <c r="O33" s="188"/>
      <c r="P33" s="188"/>
      <c r="Q33" s="188"/>
    </row>
    <row r="34">
      <c r="A34" s="212">
        <v>417.0</v>
      </c>
      <c r="B34" s="199" t="s">
        <v>11</v>
      </c>
      <c r="C34" s="180"/>
      <c r="D34" s="181"/>
      <c r="E34" s="182"/>
      <c r="F34" s="202" t="s">
        <v>137</v>
      </c>
      <c r="G34" s="194" t="s">
        <v>129</v>
      </c>
      <c r="H34" s="92" t="s">
        <v>130</v>
      </c>
      <c r="I34" s="92" t="s">
        <v>177</v>
      </c>
      <c r="J34" s="177" t="s">
        <v>117</v>
      </c>
      <c r="K34" s="186">
        <v>45736.0</v>
      </c>
      <c r="L34" s="187"/>
      <c r="M34" s="183" t="s">
        <v>178</v>
      </c>
      <c r="N34" s="183">
        <v>36.0</v>
      </c>
      <c r="O34" s="188"/>
      <c r="P34" s="188"/>
      <c r="Q34" s="188"/>
    </row>
    <row r="35">
      <c r="A35" s="214">
        <v>417.0</v>
      </c>
      <c r="B35" s="190" t="s">
        <v>11</v>
      </c>
      <c r="C35" s="191"/>
      <c r="D35" s="192"/>
      <c r="E35" s="191"/>
      <c r="F35" s="183" t="s">
        <v>124</v>
      </c>
      <c r="G35" s="190" t="s">
        <v>129</v>
      </c>
      <c r="H35" s="193" t="s">
        <v>130</v>
      </c>
      <c r="I35" s="194" t="s">
        <v>131</v>
      </c>
      <c r="J35" s="177" t="s">
        <v>117</v>
      </c>
      <c r="K35" s="195">
        <v>45789.0</v>
      </c>
      <c r="L35" s="211"/>
      <c r="M35" s="188"/>
      <c r="N35" s="177">
        <v>25.0</v>
      </c>
      <c r="O35" s="183" t="s">
        <v>165</v>
      </c>
      <c r="P35" s="188"/>
      <c r="Q35" s="188"/>
    </row>
    <row r="36">
      <c r="A36" s="212">
        <v>417.0</v>
      </c>
      <c r="B36" s="198" t="s">
        <v>11</v>
      </c>
      <c r="C36" s="199"/>
      <c r="D36" s="200"/>
      <c r="E36" s="199"/>
      <c r="F36" s="183" t="s">
        <v>124</v>
      </c>
      <c r="G36" s="194" t="s">
        <v>133</v>
      </c>
      <c r="H36" s="93" t="s">
        <v>134</v>
      </c>
      <c r="I36" s="93" t="s">
        <v>135</v>
      </c>
      <c r="J36" s="177" t="s">
        <v>117</v>
      </c>
      <c r="K36" s="186">
        <v>45790.0</v>
      </c>
      <c r="L36" s="183" t="s">
        <v>118</v>
      </c>
      <c r="M36" s="183"/>
      <c r="N36" s="183">
        <v>75.0</v>
      </c>
      <c r="O36" s="183" t="s">
        <v>136</v>
      </c>
      <c r="P36" s="188"/>
      <c r="Q36" s="188"/>
    </row>
    <row r="37">
      <c r="A37" s="203">
        <v>417.0</v>
      </c>
      <c r="B37" s="202" t="s">
        <v>11</v>
      </c>
      <c r="C37" s="203"/>
      <c r="D37" s="202"/>
      <c r="E37" s="204"/>
      <c r="F37" s="202" t="s">
        <v>137</v>
      </c>
      <c r="G37" s="202" t="s">
        <v>129</v>
      </c>
      <c r="H37" s="193" t="s">
        <v>138</v>
      </c>
      <c r="I37" s="193" t="s">
        <v>139</v>
      </c>
      <c r="J37" s="177" t="s">
        <v>117</v>
      </c>
      <c r="K37" s="195">
        <v>45796.0</v>
      </c>
      <c r="L37" s="177" t="s">
        <v>118</v>
      </c>
      <c r="M37" s="205" t="s">
        <v>140</v>
      </c>
      <c r="N37" s="177">
        <v>6.0</v>
      </c>
      <c r="O37" s="183" t="s">
        <v>141</v>
      </c>
      <c r="P37" s="188"/>
      <c r="Q37" s="188"/>
    </row>
    <row r="38">
      <c r="A38" s="214">
        <v>417.0</v>
      </c>
      <c r="B38" s="190" t="s">
        <v>11</v>
      </c>
      <c r="C38" s="203"/>
      <c r="D38" s="202"/>
      <c r="E38" s="204"/>
      <c r="F38" s="183" t="s">
        <v>124</v>
      </c>
      <c r="G38" s="202" t="s">
        <v>129</v>
      </c>
      <c r="H38" s="193" t="s">
        <v>130</v>
      </c>
      <c r="I38" s="193" t="s">
        <v>142</v>
      </c>
      <c r="J38" s="177" t="s">
        <v>117</v>
      </c>
      <c r="K38" s="195">
        <v>45818.0</v>
      </c>
      <c r="L38" s="196"/>
      <c r="M38" s="205" t="s">
        <v>143</v>
      </c>
      <c r="N38" s="177">
        <v>15.0</v>
      </c>
      <c r="O38" s="183"/>
      <c r="P38" s="188"/>
      <c r="Q38" s="188"/>
    </row>
    <row r="39">
      <c r="A39" s="214">
        <v>417.0</v>
      </c>
      <c r="B39" s="190" t="s">
        <v>11</v>
      </c>
      <c r="C39" s="203"/>
      <c r="D39" s="202"/>
      <c r="E39" s="204"/>
      <c r="F39" s="183" t="s">
        <v>124</v>
      </c>
      <c r="G39" s="183" t="s">
        <v>125</v>
      </c>
      <c r="H39" s="193" t="s">
        <v>130</v>
      </c>
      <c r="I39" s="193" t="s">
        <v>144</v>
      </c>
      <c r="J39" s="177" t="s">
        <v>117</v>
      </c>
      <c r="K39" s="195">
        <v>45818.0</v>
      </c>
      <c r="L39" s="196"/>
      <c r="M39" s="205" t="s">
        <v>145</v>
      </c>
      <c r="N39" s="177">
        <v>5.0</v>
      </c>
      <c r="O39" s="183"/>
      <c r="P39" s="188"/>
      <c r="Q39" s="188"/>
    </row>
    <row r="40">
      <c r="A40" s="214">
        <v>417.0</v>
      </c>
      <c r="B40" s="190" t="s">
        <v>11</v>
      </c>
      <c r="C40" s="203"/>
      <c r="D40" s="202"/>
      <c r="E40" s="204"/>
      <c r="F40" s="183" t="s">
        <v>124</v>
      </c>
      <c r="G40" s="183" t="s">
        <v>125</v>
      </c>
      <c r="H40" s="193" t="s">
        <v>146</v>
      </c>
      <c r="I40" s="193" t="s">
        <v>147</v>
      </c>
      <c r="J40" s="177" t="s">
        <v>117</v>
      </c>
      <c r="K40" s="195">
        <v>45818.0</v>
      </c>
      <c r="L40" s="177" t="s">
        <v>118</v>
      </c>
      <c r="M40" s="205" t="s">
        <v>148</v>
      </c>
      <c r="N40" s="177">
        <v>8.0</v>
      </c>
      <c r="O40" s="183" t="s">
        <v>149</v>
      </c>
      <c r="P40" s="188"/>
      <c r="Q40" s="188"/>
    </row>
    <row r="41">
      <c r="A41" s="217">
        <v>417.0</v>
      </c>
      <c r="B41" s="179" t="s">
        <v>11</v>
      </c>
      <c r="C41" s="207">
        <v>45702.0</v>
      </c>
      <c r="D41" s="181" t="s">
        <v>179</v>
      </c>
      <c r="E41" s="182" t="s">
        <v>123</v>
      </c>
      <c r="F41" s="202" t="s">
        <v>116</v>
      </c>
      <c r="G41" s="209"/>
      <c r="H41" s="210"/>
      <c r="I41" s="193"/>
      <c r="J41" s="196"/>
      <c r="K41" s="195"/>
      <c r="L41" s="196"/>
      <c r="M41" s="205"/>
      <c r="N41" s="211"/>
      <c r="O41" s="183"/>
      <c r="P41" s="188"/>
      <c r="Q41" s="188"/>
    </row>
    <row r="42">
      <c r="A42" s="217">
        <v>418.0</v>
      </c>
      <c r="B42" s="198" t="s">
        <v>11</v>
      </c>
      <c r="C42" s="218"/>
      <c r="D42" s="200"/>
      <c r="E42" s="198"/>
      <c r="F42" s="183" t="s">
        <v>124</v>
      </c>
      <c r="G42" s="183" t="s">
        <v>125</v>
      </c>
      <c r="H42" s="185" t="s">
        <v>126</v>
      </c>
      <c r="I42" s="185" t="s">
        <v>127</v>
      </c>
      <c r="J42" s="177" t="s">
        <v>117</v>
      </c>
      <c r="K42" s="186">
        <v>45737.0</v>
      </c>
      <c r="L42" s="187"/>
      <c r="M42" s="183" t="s">
        <v>180</v>
      </c>
      <c r="N42" s="183">
        <v>13.0</v>
      </c>
      <c r="O42" s="188"/>
      <c r="P42" s="188"/>
      <c r="Q42" s="188"/>
    </row>
    <row r="43">
      <c r="A43" s="214">
        <v>418.0</v>
      </c>
      <c r="B43" s="190" t="s">
        <v>11</v>
      </c>
      <c r="C43" s="191"/>
      <c r="D43" s="192"/>
      <c r="E43" s="191"/>
      <c r="F43" s="183" t="s">
        <v>124</v>
      </c>
      <c r="G43" s="190" t="s">
        <v>129</v>
      </c>
      <c r="H43" s="193" t="s">
        <v>130</v>
      </c>
      <c r="I43" s="194" t="s">
        <v>131</v>
      </c>
      <c r="J43" s="177" t="s">
        <v>117</v>
      </c>
      <c r="K43" s="195">
        <v>45789.0</v>
      </c>
      <c r="L43" s="211"/>
      <c r="M43" s="188"/>
      <c r="N43" s="177">
        <v>25.0</v>
      </c>
      <c r="O43" s="183" t="s">
        <v>165</v>
      </c>
      <c r="P43" s="188"/>
      <c r="Q43" s="188"/>
    </row>
    <row r="44">
      <c r="A44" s="212">
        <v>418.0</v>
      </c>
      <c r="B44" s="198" t="s">
        <v>11</v>
      </c>
      <c r="C44" s="199"/>
      <c r="D44" s="200"/>
      <c r="E44" s="199"/>
      <c r="F44" s="183" t="s">
        <v>124</v>
      </c>
      <c r="G44" s="194" t="s">
        <v>133</v>
      </c>
      <c r="H44" s="93" t="s">
        <v>134</v>
      </c>
      <c r="I44" s="93" t="s">
        <v>135</v>
      </c>
      <c r="J44" s="177" t="s">
        <v>117</v>
      </c>
      <c r="K44" s="186">
        <v>45790.0</v>
      </c>
      <c r="L44" s="183" t="s">
        <v>118</v>
      </c>
      <c r="M44" s="183"/>
      <c r="N44" s="183">
        <v>75.0</v>
      </c>
      <c r="O44" s="183" t="s">
        <v>136</v>
      </c>
      <c r="P44" s="188"/>
      <c r="Q44" s="188"/>
    </row>
    <row r="45">
      <c r="A45" s="203">
        <v>418.0</v>
      </c>
      <c r="B45" s="202" t="s">
        <v>11</v>
      </c>
      <c r="C45" s="203"/>
      <c r="D45" s="202"/>
      <c r="E45" s="204"/>
      <c r="F45" s="202" t="s">
        <v>137</v>
      </c>
      <c r="G45" s="202" t="s">
        <v>129</v>
      </c>
      <c r="H45" s="193" t="s">
        <v>138</v>
      </c>
      <c r="I45" s="193" t="s">
        <v>139</v>
      </c>
      <c r="J45" s="177" t="s">
        <v>117</v>
      </c>
      <c r="K45" s="195">
        <v>45796.0</v>
      </c>
      <c r="L45" s="177" t="s">
        <v>118</v>
      </c>
      <c r="M45" s="205" t="s">
        <v>140</v>
      </c>
      <c r="N45" s="177">
        <v>6.0</v>
      </c>
      <c r="O45" s="183" t="s">
        <v>141</v>
      </c>
      <c r="P45" s="188"/>
      <c r="Q45" s="188"/>
    </row>
    <row r="46">
      <c r="A46" s="203">
        <v>418.0</v>
      </c>
      <c r="B46" s="202" t="s">
        <v>11</v>
      </c>
      <c r="C46" s="203"/>
      <c r="D46" s="202"/>
      <c r="E46" s="204"/>
      <c r="F46" s="202" t="s">
        <v>137</v>
      </c>
      <c r="G46" s="183" t="s">
        <v>125</v>
      </c>
      <c r="H46" s="222" t="s">
        <v>181</v>
      </c>
      <c r="I46" s="222" t="s">
        <v>89</v>
      </c>
      <c r="J46" s="177" t="s">
        <v>162</v>
      </c>
      <c r="K46" s="195"/>
      <c r="L46" s="196"/>
      <c r="M46" s="205"/>
      <c r="N46" s="177"/>
      <c r="O46" s="183"/>
      <c r="P46" s="188"/>
      <c r="Q46" s="188"/>
    </row>
    <row r="47">
      <c r="A47" s="203">
        <v>418.0</v>
      </c>
      <c r="B47" s="202" t="s">
        <v>11</v>
      </c>
      <c r="C47" s="203"/>
      <c r="D47" s="202"/>
      <c r="E47" s="204"/>
      <c r="F47" s="202" t="s">
        <v>137</v>
      </c>
      <c r="G47" s="202" t="s">
        <v>129</v>
      </c>
      <c r="H47" s="220" t="s">
        <v>182</v>
      </c>
      <c r="I47" s="220" t="s">
        <v>66</v>
      </c>
      <c r="J47" s="177" t="s">
        <v>162</v>
      </c>
      <c r="K47" s="195"/>
      <c r="L47" s="196"/>
      <c r="M47" s="205"/>
      <c r="N47" s="177"/>
      <c r="O47" s="183"/>
      <c r="P47" s="188"/>
      <c r="Q47" s="188"/>
    </row>
    <row r="48">
      <c r="A48" s="214">
        <v>418.0</v>
      </c>
      <c r="B48" s="190" t="s">
        <v>11</v>
      </c>
      <c r="C48" s="203"/>
      <c r="D48" s="202"/>
      <c r="E48" s="204"/>
      <c r="F48" s="183" t="s">
        <v>124</v>
      </c>
      <c r="G48" s="202" t="s">
        <v>129</v>
      </c>
      <c r="H48" s="193" t="s">
        <v>130</v>
      </c>
      <c r="I48" s="193" t="s">
        <v>142</v>
      </c>
      <c r="J48" s="177" t="s">
        <v>117</v>
      </c>
      <c r="K48" s="195">
        <v>45818.0</v>
      </c>
      <c r="L48" s="196"/>
      <c r="M48" s="205" t="s">
        <v>143</v>
      </c>
      <c r="N48" s="177">
        <v>15.0</v>
      </c>
      <c r="O48" s="183"/>
      <c r="P48" s="188"/>
      <c r="Q48" s="188"/>
    </row>
    <row r="49">
      <c r="A49" s="214">
        <v>418.0</v>
      </c>
      <c r="B49" s="190" t="s">
        <v>11</v>
      </c>
      <c r="C49" s="203"/>
      <c r="D49" s="202"/>
      <c r="E49" s="204"/>
      <c r="F49" s="183" t="s">
        <v>124</v>
      </c>
      <c r="G49" s="183" t="s">
        <v>125</v>
      </c>
      <c r="H49" s="193" t="s">
        <v>130</v>
      </c>
      <c r="I49" s="193" t="s">
        <v>144</v>
      </c>
      <c r="J49" s="177" t="s">
        <v>117</v>
      </c>
      <c r="K49" s="195">
        <v>45818.0</v>
      </c>
      <c r="L49" s="196"/>
      <c r="M49" s="205" t="s">
        <v>145</v>
      </c>
      <c r="N49" s="177">
        <v>5.0</v>
      </c>
      <c r="O49" s="183"/>
      <c r="P49" s="188"/>
      <c r="Q49" s="188"/>
    </row>
    <row r="50">
      <c r="A50" s="214">
        <v>418.0</v>
      </c>
      <c r="B50" s="190" t="s">
        <v>11</v>
      </c>
      <c r="C50" s="203"/>
      <c r="D50" s="202"/>
      <c r="E50" s="204"/>
      <c r="F50" s="183" t="s">
        <v>124</v>
      </c>
      <c r="G50" s="183" t="s">
        <v>125</v>
      </c>
      <c r="H50" s="193" t="s">
        <v>146</v>
      </c>
      <c r="I50" s="193" t="s">
        <v>147</v>
      </c>
      <c r="J50" s="177" t="s">
        <v>117</v>
      </c>
      <c r="K50" s="195">
        <v>45818.0</v>
      </c>
      <c r="L50" s="177" t="s">
        <v>118</v>
      </c>
      <c r="M50" s="205" t="s">
        <v>148</v>
      </c>
      <c r="N50" s="177">
        <v>8.0</v>
      </c>
      <c r="O50" s="183" t="s">
        <v>149</v>
      </c>
      <c r="P50" s="188"/>
      <c r="Q50" s="188"/>
    </row>
    <row r="51">
      <c r="A51" s="217">
        <v>418.0</v>
      </c>
      <c r="B51" s="179" t="s">
        <v>11</v>
      </c>
      <c r="C51" s="207">
        <v>45702.0</v>
      </c>
      <c r="D51" s="181" t="s">
        <v>183</v>
      </c>
      <c r="E51" s="182" t="s">
        <v>123</v>
      </c>
      <c r="F51" s="202" t="s">
        <v>116</v>
      </c>
      <c r="G51" s="209"/>
      <c r="H51" s="210"/>
      <c r="I51" s="193"/>
      <c r="J51" s="196"/>
      <c r="K51" s="195"/>
      <c r="L51" s="196"/>
      <c r="M51" s="205"/>
      <c r="N51" s="211"/>
      <c r="O51" s="183"/>
      <c r="P51" s="188"/>
      <c r="Q51" s="188"/>
    </row>
    <row r="52">
      <c r="A52" s="206">
        <v>419.0</v>
      </c>
      <c r="B52" s="179" t="s">
        <v>11</v>
      </c>
      <c r="C52" s="180"/>
      <c r="D52" s="181" t="s">
        <v>122</v>
      </c>
      <c r="E52" s="182" t="s">
        <v>123</v>
      </c>
      <c r="F52" s="183" t="s">
        <v>124</v>
      </c>
      <c r="G52" s="183" t="s">
        <v>125</v>
      </c>
      <c r="H52" s="185" t="s">
        <v>126</v>
      </c>
      <c r="I52" s="185" t="s">
        <v>127</v>
      </c>
      <c r="J52" s="177" t="s">
        <v>117</v>
      </c>
      <c r="K52" s="186">
        <v>45736.0</v>
      </c>
      <c r="L52" s="187"/>
      <c r="M52" s="183" t="s">
        <v>176</v>
      </c>
      <c r="N52" s="183">
        <v>12.0</v>
      </c>
      <c r="O52" s="188"/>
      <c r="P52" s="188"/>
      <c r="Q52" s="188"/>
    </row>
    <row r="53">
      <c r="A53" s="217">
        <v>419.0</v>
      </c>
      <c r="B53" s="198" t="s">
        <v>11</v>
      </c>
      <c r="C53" s="218"/>
      <c r="D53" s="200"/>
      <c r="E53" s="198"/>
      <c r="F53" s="202" t="s">
        <v>137</v>
      </c>
      <c r="G53" s="194" t="s">
        <v>129</v>
      </c>
      <c r="H53" s="92" t="s">
        <v>138</v>
      </c>
      <c r="I53" s="92" t="s">
        <v>184</v>
      </c>
      <c r="J53" s="177" t="s">
        <v>117</v>
      </c>
      <c r="K53" s="186">
        <v>45756.0</v>
      </c>
      <c r="L53" s="187"/>
      <c r="M53" s="183" t="s">
        <v>185</v>
      </c>
      <c r="N53" s="183">
        <v>33.0</v>
      </c>
      <c r="O53" s="183" t="s">
        <v>186</v>
      </c>
      <c r="P53" s="213"/>
      <c r="Q53" s="213"/>
    </row>
    <row r="54">
      <c r="A54" s="214">
        <v>419.0</v>
      </c>
      <c r="B54" s="190" t="s">
        <v>11</v>
      </c>
      <c r="C54" s="191"/>
      <c r="D54" s="192"/>
      <c r="E54" s="191"/>
      <c r="F54" s="183" t="s">
        <v>124</v>
      </c>
      <c r="G54" s="190" t="s">
        <v>129</v>
      </c>
      <c r="H54" s="193" t="s">
        <v>130</v>
      </c>
      <c r="I54" s="194" t="s">
        <v>131</v>
      </c>
      <c r="J54" s="177" t="s">
        <v>117</v>
      </c>
      <c r="K54" s="195">
        <v>45789.0</v>
      </c>
      <c r="L54" s="211"/>
      <c r="M54" s="188"/>
      <c r="N54" s="177">
        <v>25.0</v>
      </c>
      <c r="O54" s="183" t="s">
        <v>165</v>
      </c>
      <c r="P54" s="188"/>
      <c r="Q54" s="188"/>
    </row>
    <row r="55">
      <c r="A55" s="212">
        <v>419.0</v>
      </c>
      <c r="B55" s="198" t="s">
        <v>11</v>
      </c>
      <c r="C55" s="199"/>
      <c r="D55" s="200"/>
      <c r="E55" s="199"/>
      <c r="F55" s="183" t="s">
        <v>124</v>
      </c>
      <c r="G55" s="194" t="s">
        <v>133</v>
      </c>
      <c r="H55" s="93" t="s">
        <v>134</v>
      </c>
      <c r="I55" s="93" t="s">
        <v>135</v>
      </c>
      <c r="J55" s="177" t="s">
        <v>117</v>
      </c>
      <c r="K55" s="186">
        <v>45790.0</v>
      </c>
      <c r="L55" s="183" t="s">
        <v>118</v>
      </c>
      <c r="M55" s="183"/>
      <c r="N55" s="183">
        <v>75.0</v>
      </c>
      <c r="O55" s="183" t="s">
        <v>136</v>
      </c>
      <c r="P55" s="188"/>
      <c r="Q55" s="188"/>
    </row>
    <row r="56">
      <c r="A56" s="203">
        <v>419.0</v>
      </c>
      <c r="B56" s="202" t="s">
        <v>11</v>
      </c>
      <c r="C56" s="203"/>
      <c r="D56" s="202"/>
      <c r="E56" s="204"/>
      <c r="F56" s="202" t="s">
        <v>137</v>
      </c>
      <c r="G56" s="202" t="s">
        <v>129</v>
      </c>
      <c r="H56" s="193" t="s">
        <v>138</v>
      </c>
      <c r="I56" s="193" t="s">
        <v>139</v>
      </c>
      <c r="J56" s="177" t="s">
        <v>162</v>
      </c>
      <c r="K56" s="195"/>
      <c r="L56" s="196"/>
      <c r="M56" s="205"/>
      <c r="N56" s="211"/>
      <c r="O56" s="183"/>
      <c r="P56" s="188"/>
      <c r="Q56" s="188"/>
    </row>
    <row r="57">
      <c r="A57" s="214">
        <v>419.0</v>
      </c>
      <c r="B57" s="190" t="s">
        <v>11</v>
      </c>
      <c r="C57" s="203"/>
      <c r="D57" s="202"/>
      <c r="E57" s="204"/>
      <c r="F57" s="183" t="s">
        <v>124</v>
      </c>
      <c r="G57" s="202" t="s">
        <v>129</v>
      </c>
      <c r="H57" s="193" t="s">
        <v>130</v>
      </c>
      <c r="I57" s="193" t="s">
        <v>142</v>
      </c>
      <c r="J57" s="177" t="s">
        <v>117</v>
      </c>
      <c r="K57" s="195">
        <v>45818.0</v>
      </c>
      <c r="L57" s="196"/>
      <c r="M57" s="205" t="s">
        <v>143</v>
      </c>
      <c r="N57" s="177">
        <v>15.0</v>
      </c>
      <c r="O57" s="183"/>
      <c r="P57" s="188"/>
      <c r="Q57" s="188"/>
    </row>
    <row r="58">
      <c r="A58" s="214">
        <v>419.0</v>
      </c>
      <c r="B58" s="190" t="s">
        <v>11</v>
      </c>
      <c r="C58" s="203"/>
      <c r="D58" s="202"/>
      <c r="E58" s="204"/>
      <c r="F58" s="183" t="s">
        <v>124</v>
      </c>
      <c r="G58" s="183" t="s">
        <v>125</v>
      </c>
      <c r="H58" s="193" t="s">
        <v>130</v>
      </c>
      <c r="I58" s="193" t="s">
        <v>144</v>
      </c>
      <c r="J58" s="177" t="s">
        <v>117</v>
      </c>
      <c r="K58" s="195">
        <v>45818.0</v>
      </c>
      <c r="L58" s="196"/>
      <c r="M58" s="205" t="s">
        <v>145</v>
      </c>
      <c r="N58" s="177">
        <v>5.0</v>
      </c>
      <c r="O58" s="183"/>
      <c r="P58" s="188"/>
      <c r="Q58" s="188"/>
    </row>
    <row r="59">
      <c r="A59" s="214">
        <v>419.0</v>
      </c>
      <c r="B59" s="190" t="s">
        <v>11</v>
      </c>
      <c r="C59" s="203"/>
      <c r="D59" s="202"/>
      <c r="E59" s="204"/>
      <c r="F59" s="183" t="s">
        <v>124</v>
      </c>
      <c r="G59" s="183" t="s">
        <v>125</v>
      </c>
      <c r="H59" s="193" t="s">
        <v>146</v>
      </c>
      <c r="I59" s="193" t="s">
        <v>147</v>
      </c>
      <c r="J59" s="177" t="s">
        <v>117</v>
      </c>
      <c r="K59" s="195">
        <v>45818.0</v>
      </c>
      <c r="L59" s="177" t="s">
        <v>118</v>
      </c>
      <c r="M59" s="205" t="s">
        <v>148</v>
      </c>
      <c r="N59" s="177">
        <v>8.0</v>
      </c>
      <c r="O59" s="183" t="s">
        <v>149</v>
      </c>
      <c r="P59" s="188"/>
      <c r="Q59" s="188"/>
    </row>
    <row r="60">
      <c r="A60" s="206">
        <v>419.0</v>
      </c>
      <c r="B60" s="179" t="s">
        <v>11</v>
      </c>
      <c r="C60" s="207">
        <v>45702.0</v>
      </c>
      <c r="D60" s="181" t="s">
        <v>187</v>
      </c>
      <c r="E60" s="182" t="s">
        <v>123</v>
      </c>
      <c r="F60" s="202" t="s">
        <v>116</v>
      </c>
      <c r="G60" s="209"/>
      <c r="H60" s="210"/>
      <c r="I60" s="193"/>
      <c r="J60" s="196"/>
      <c r="K60" s="195"/>
      <c r="L60" s="196"/>
      <c r="M60" s="205"/>
      <c r="N60" s="211"/>
      <c r="O60" s="183"/>
      <c r="P60" s="188"/>
      <c r="Q60" s="188"/>
    </row>
    <row r="61">
      <c r="A61" s="206">
        <v>420.0</v>
      </c>
      <c r="B61" s="179" t="s">
        <v>11</v>
      </c>
      <c r="C61" s="180"/>
      <c r="D61" s="181" t="s">
        <v>122</v>
      </c>
      <c r="E61" s="182" t="s">
        <v>123</v>
      </c>
      <c r="F61" s="183" t="s">
        <v>124</v>
      </c>
      <c r="G61" s="183" t="s">
        <v>125</v>
      </c>
      <c r="H61" s="185" t="s">
        <v>126</v>
      </c>
      <c r="I61" s="185" t="s">
        <v>127</v>
      </c>
      <c r="J61" s="177" t="s">
        <v>117</v>
      </c>
      <c r="K61" s="186">
        <v>45736.0</v>
      </c>
      <c r="L61" s="187"/>
      <c r="M61" s="183" t="s">
        <v>188</v>
      </c>
      <c r="N61" s="183">
        <v>16.0</v>
      </c>
      <c r="O61" s="188"/>
      <c r="P61" s="188"/>
      <c r="Q61" s="188"/>
    </row>
    <row r="62">
      <c r="A62" s="212">
        <v>420.0</v>
      </c>
      <c r="B62" s="198" t="s">
        <v>11</v>
      </c>
      <c r="C62" s="199"/>
      <c r="D62" s="200"/>
      <c r="E62" s="199"/>
      <c r="F62" s="202" t="s">
        <v>137</v>
      </c>
      <c r="G62" s="93" t="s">
        <v>156</v>
      </c>
      <c r="H62" s="93" t="s">
        <v>157</v>
      </c>
      <c r="I62" s="93" t="s">
        <v>156</v>
      </c>
      <c r="J62" s="177" t="s">
        <v>117</v>
      </c>
      <c r="K62" s="186">
        <v>45777.0</v>
      </c>
      <c r="L62" s="187"/>
      <c r="M62" s="183" t="s">
        <v>158</v>
      </c>
      <c r="N62" s="183">
        <v>10.0</v>
      </c>
      <c r="O62" s="183" t="s">
        <v>159</v>
      </c>
      <c r="P62" s="213"/>
      <c r="Q62" s="213"/>
    </row>
    <row r="63">
      <c r="A63" s="212">
        <v>420.0</v>
      </c>
      <c r="B63" s="198" t="s">
        <v>11</v>
      </c>
      <c r="C63" s="199"/>
      <c r="D63" s="200"/>
      <c r="E63" s="199"/>
      <c r="F63" s="202" t="s">
        <v>137</v>
      </c>
      <c r="G63" s="194" t="s">
        <v>133</v>
      </c>
      <c r="H63" s="93" t="s">
        <v>181</v>
      </c>
      <c r="I63" s="93" t="s">
        <v>189</v>
      </c>
      <c r="J63" s="177" t="s">
        <v>117</v>
      </c>
      <c r="K63" s="186">
        <v>45778.0</v>
      </c>
      <c r="L63" s="187"/>
      <c r="M63" s="183" t="s">
        <v>190</v>
      </c>
      <c r="N63" s="183">
        <v>10.0</v>
      </c>
      <c r="O63" s="188"/>
      <c r="P63" s="188"/>
      <c r="Q63" s="188"/>
    </row>
    <row r="64">
      <c r="A64" s="214">
        <v>420.0</v>
      </c>
      <c r="B64" s="190" t="s">
        <v>11</v>
      </c>
      <c r="C64" s="191"/>
      <c r="D64" s="192"/>
      <c r="E64" s="191"/>
      <c r="F64" s="183" t="s">
        <v>124</v>
      </c>
      <c r="G64" s="190" t="s">
        <v>129</v>
      </c>
      <c r="H64" s="193" t="s">
        <v>130</v>
      </c>
      <c r="I64" s="194" t="s">
        <v>131</v>
      </c>
      <c r="J64" s="177" t="s">
        <v>117</v>
      </c>
      <c r="K64" s="195">
        <v>45789.0</v>
      </c>
      <c r="L64" s="211"/>
      <c r="M64" s="188"/>
      <c r="N64" s="177">
        <v>25.0</v>
      </c>
      <c r="O64" s="183" t="s">
        <v>165</v>
      </c>
      <c r="P64" s="188"/>
      <c r="Q64" s="188"/>
    </row>
    <row r="65">
      <c r="A65" s="212">
        <v>420.0</v>
      </c>
      <c r="B65" s="198" t="s">
        <v>11</v>
      </c>
      <c r="C65" s="199"/>
      <c r="D65" s="200"/>
      <c r="E65" s="199"/>
      <c r="F65" s="183" t="s">
        <v>124</v>
      </c>
      <c r="G65" s="194" t="s">
        <v>133</v>
      </c>
      <c r="H65" s="93" t="s">
        <v>134</v>
      </c>
      <c r="I65" s="93" t="s">
        <v>135</v>
      </c>
      <c r="J65" s="177" t="s">
        <v>117</v>
      </c>
      <c r="K65" s="186">
        <v>45790.0</v>
      </c>
      <c r="L65" s="187"/>
      <c r="M65" s="183"/>
      <c r="N65" s="183">
        <v>75.0</v>
      </c>
      <c r="O65" s="183" t="s">
        <v>136</v>
      </c>
      <c r="P65" s="188"/>
      <c r="Q65" s="188"/>
    </row>
    <row r="66">
      <c r="A66" s="203">
        <v>420.0</v>
      </c>
      <c r="B66" s="202" t="s">
        <v>11</v>
      </c>
      <c r="C66" s="203"/>
      <c r="D66" s="202"/>
      <c r="E66" s="204"/>
      <c r="F66" s="202" t="s">
        <v>137</v>
      </c>
      <c r="G66" s="202" t="s">
        <v>129</v>
      </c>
      <c r="H66" s="193" t="s">
        <v>138</v>
      </c>
      <c r="I66" s="193" t="s">
        <v>139</v>
      </c>
      <c r="J66" s="177" t="s">
        <v>162</v>
      </c>
      <c r="K66" s="195"/>
      <c r="L66" s="196"/>
      <c r="M66" s="205"/>
      <c r="N66" s="211"/>
      <c r="O66" s="183"/>
      <c r="P66" s="188"/>
      <c r="Q66" s="188"/>
    </row>
    <row r="67">
      <c r="A67" s="203">
        <v>420.0</v>
      </c>
      <c r="B67" s="202" t="s">
        <v>11</v>
      </c>
      <c r="C67" s="203"/>
      <c r="D67" s="202"/>
      <c r="E67" s="204"/>
      <c r="F67" s="202" t="s">
        <v>137</v>
      </c>
      <c r="G67" s="183" t="s">
        <v>125</v>
      </c>
      <c r="H67" s="193" t="s">
        <v>134</v>
      </c>
      <c r="I67" s="193" t="s">
        <v>191</v>
      </c>
      <c r="J67" s="177" t="s">
        <v>117</v>
      </c>
      <c r="K67" s="195">
        <v>45806.0</v>
      </c>
      <c r="L67" s="177" t="s">
        <v>118</v>
      </c>
      <c r="M67" s="205" t="s">
        <v>192</v>
      </c>
      <c r="N67" s="177">
        <v>35.0</v>
      </c>
      <c r="O67" s="183"/>
      <c r="P67" s="188"/>
      <c r="Q67" s="188"/>
    </row>
    <row r="68">
      <c r="A68" s="203">
        <v>420.0</v>
      </c>
      <c r="B68" s="202" t="s">
        <v>11</v>
      </c>
      <c r="C68" s="203"/>
      <c r="D68" s="202"/>
      <c r="E68" s="204"/>
      <c r="F68" s="202" t="s">
        <v>137</v>
      </c>
      <c r="G68" s="183" t="s">
        <v>125</v>
      </c>
      <c r="H68" s="193" t="s">
        <v>146</v>
      </c>
      <c r="I68" s="220" t="s">
        <v>91</v>
      </c>
      <c r="J68" s="177" t="s">
        <v>162</v>
      </c>
      <c r="K68" s="195"/>
      <c r="L68" s="196"/>
      <c r="M68" s="205"/>
      <c r="N68" s="211"/>
      <c r="O68" s="183"/>
      <c r="P68" s="188"/>
      <c r="Q68" s="188"/>
    </row>
    <row r="69">
      <c r="A69" s="214">
        <v>420.0</v>
      </c>
      <c r="B69" s="190" t="s">
        <v>11</v>
      </c>
      <c r="C69" s="203"/>
      <c r="D69" s="202"/>
      <c r="E69" s="204"/>
      <c r="F69" s="183" t="s">
        <v>124</v>
      </c>
      <c r="G69" s="202" t="s">
        <v>129</v>
      </c>
      <c r="H69" s="193" t="s">
        <v>130</v>
      </c>
      <c r="I69" s="193" t="s">
        <v>142</v>
      </c>
      <c r="J69" s="177" t="s">
        <v>117</v>
      </c>
      <c r="K69" s="195">
        <v>45818.0</v>
      </c>
      <c r="L69" s="196"/>
      <c r="M69" s="205" t="s">
        <v>143</v>
      </c>
      <c r="N69" s="177">
        <v>15.0</v>
      </c>
      <c r="O69" s="183"/>
      <c r="P69" s="188"/>
      <c r="Q69" s="188"/>
    </row>
    <row r="70">
      <c r="A70" s="214">
        <v>420.0</v>
      </c>
      <c r="B70" s="190" t="s">
        <v>11</v>
      </c>
      <c r="C70" s="203"/>
      <c r="D70" s="202"/>
      <c r="E70" s="204"/>
      <c r="F70" s="183" t="s">
        <v>124</v>
      </c>
      <c r="G70" s="183" t="s">
        <v>125</v>
      </c>
      <c r="H70" s="193" t="s">
        <v>130</v>
      </c>
      <c r="I70" s="193" t="s">
        <v>144</v>
      </c>
      <c r="J70" s="177" t="s">
        <v>117</v>
      </c>
      <c r="K70" s="195">
        <v>45818.0</v>
      </c>
      <c r="L70" s="196"/>
      <c r="M70" s="205" t="s">
        <v>145</v>
      </c>
      <c r="N70" s="177">
        <v>5.0</v>
      </c>
      <c r="O70" s="183"/>
      <c r="P70" s="188"/>
      <c r="Q70" s="188"/>
    </row>
    <row r="71">
      <c r="A71" s="214">
        <v>420.0</v>
      </c>
      <c r="B71" s="190" t="s">
        <v>11</v>
      </c>
      <c r="C71" s="203"/>
      <c r="D71" s="202"/>
      <c r="E71" s="204"/>
      <c r="F71" s="183" t="s">
        <v>124</v>
      </c>
      <c r="G71" s="183" t="s">
        <v>125</v>
      </c>
      <c r="H71" s="193" t="s">
        <v>146</v>
      </c>
      <c r="I71" s="193" t="s">
        <v>147</v>
      </c>
      <c r="J71" s="177" t="s">
        <v>117</v>
      </c>
      <c r="K71" s="195">
        <v>45818.0</v>
      </c>
      <c r="L71" s="177" t="s">
        <v>118</v>
      </c>
      <c r="M71" s="205" t="s">
        <v>148</v>
      </c>
      <c r="N71" s="177">
        <v>8.0</v>
      </c>
      <c r="O71" s="183" t="s">
        <v>149</v>
      </c>
      <c r="P71" s="188"/>
      <c r="Q71" s="188"/>
    </row>
    <row r="72">
      <c r="A72" s="206">
        <v>420.0</v>
      </c>
      <c r="B72" s="179" t="s">
        <v>11</v>
      </c>
      <c r="C72" s="207">
        <v>45702.0</v>
      </c>
      <c r="D72" s="181" t="s">
        <v>193</v>
      </c>
      <c r="E72" s="182" t="s">
        <v>123</v>
      </c>
      <c r="F72" s="202" t="s">
        <v>116</v>
      </c>
      <c r="G72" s="209"/>
      <c r="H72" s="210"/>
      <c r="I72" s="193"/>
      <c r="J72" s="196"/>
      <c r="K72" s="195"/>
      <c r="L72" s="196"/>
      <c r="M72" s="205"/>
      <c r="N72" s="211"/>
      <c r="O72" s="183"/>
      <c r="P72" s="188"/>
      <c r="Q72" s="188"/>
    </row>
    <row r="73">
      <c r="A73" s="206">
        <v>421.0</v>
      </c>
      <c r="B73" s="179" t="s">
        <v>11</v>
      </c>
      <c r="C73" s="180"/>
      <c r="D73" s="181" t="s">
        <v>122</v>
      </c>
      <c r="E73" s="182" t="s">
        <v>123</v>
      </c>
      <c r="F73" s="183" t="s">
        <v>124</v>
      </c>
      <c r="G73" s="183" t="s">
        <v>125</v>
      </c>
      <c r="H73" s="185" t="s">
        <v>126</v>
      </c>
      <c r="I73" s="185" t="s">
        <v>127</v>
      </c>
      <c r="J73" s="177" t="s">
        <v>117</v>
      </c>
      <c r="K73" s="186">
        <v>45736.0</v>
      </c>
      <c r="L73" s="187"/>
      <c r="M73" s="183" t="s">
        <v>151</v>
      </c>
      <c r="N73" s="183">
        <v>15.0</v>
      </c>
      <c r="O73" s="188"/>
      <c r="P73" s="188"/>
      <c r="Q73" s="188"/>
    </row>
    <row r="74">
      <c r="A74" s="212">
        <v>421.0</v>
      </c>
      <c r="B74" s="199" t="s">
        <v>11</v>
      </c>
      <c r="C74" s="199"/>
      <c r="D74" s="200"/>
      <c r="E74" s="198"/>
      <c r="F74" s="202" t="s">
        <v>137</v>
      </c>
      <c r="G74" s="93" t="s">
        <v>194</v>
      </c>
      <c r="H74" s="92" t="s">
        <v>195</v>
      </c>
      <c r="I74" s="92" t="s">
        <v>196</v>
      </c>
      <c r="J74" s="177" t="s">
        <v>117</v>
      </c>
      <c r="K74" s="186">
        <v>45755.0</v>
      </c>
      <c r="L74" s="187"/>
      <c r="M74" s="183" t="s">
        <v>197</v>
      </c>
      <c r="N74" s="183">
        <v>22.0</v>
      </c>
      <c r="O74" s="183" t="s">
        <v>198</v>
      </c>
      <c r="P74" s="213"/>
      <c r="Q74" s="213"/>
    </row>
    <row r="75">
      <c r="A75" s="214">
        <v>421.0</v>
      </c>
      <c r="B75" s="190" t="s">
        <v>11</v>
      </c>
      <c r="C75" s="191"/>
      <c r="D75" s="192"/>
      <c r="E75" s="191"/>
      <c r="F75" s="183" t="s">
        <v>124</v>
      </c>
      <c r="G75" s="190" t="s">
        <v>129</v>
      </c>
      <c r="H75" s="193" t="s">
        <v>130</v>
      </c>
      <c r="I75" s="194" t="s">
        <v>131</v>
      </c>
      <c r="J75" s="177" t="s">
        <v>117</v>
      </c>
      <c r="K75" s="195">
        <v>45789.0</v>
      </c>
      <c r="L75" s="211"/>
      <c r="M75" s="188"/>
      <c r="N75" s="177">
        <v>25.0</v>
      </c>
      <c r="O75" s="183" t="s">
        <v>165</v>
      </c>
      <c r="P75" s="188"/>
      <c r="Q75" s="188"/>
    </row>
    <row r="76">
      <c r="A76" s="212">
        <v>421.0</v>
      </c>
      <c r="B76" s="198" t="s">
        <v>11</v>
      </c>
      <c r="C76" s="199"/>
      <c r="D76" s="200"/>
      <c r="E76" s="199"/>
      <c r="F76" s="183" t="s">
        <v>124</v>
      </c>
      <c r="G76" s="194" t="s">
        <v>133</v>
      </c>
      <c r="H76" s="93" t="s">
        <v>134</v>
      </c>
      <c r="I76" s="93" t="s">
        <v>135</v>
      </c>
      <c r="J76" s="177" t="s">
        <v>117</v>
      </c>
      <c r="K76" s="186">
        <v>45790.0</v>
      </c>
      <c r="L76" s="183" t="s">
        <v>118</v>
      </c>
      <c r="M76" s="183"/>
      <c r="N76" s="183">
        <v>75.0</v>
      </c>
      <c r="O76" s="183" t="s">
        <v>136</v>
      </c>
      <c r="P76" s="188"/>
      <c r="Q76" s="188"/>
    </row>
    <row r="77">
      <c r="A77" s="203">
        <v>421.0</v>
      </c>
      <c r="B77" s="202" t="s">
        <v>11</v>
      </c>
      <c r="C77" s="203"/>
      <c r="D77" s="202"/>
      <c r="E77" s="204"/>
      <c r="F77" s="202" t="s">
        <v>137</v>
      </c>
      <c r="G77" s="202" t="s">
        <v>129</v>
      </c>
      <c r="H77" s="193" t="s">
        <v>138</v>
      </c>
      <c r="I77" s="193" t="s">
        <v>139</v>
      </c>
      <c r="J77" s="177" t="s">
        <v>117</v>
      </c>
      <c r="K77" s="195">
        <v>45796.0</v>
      </c>
      <c r="L77" s="177" t="s">
        <v>118</v>
      </c>
      <c r="M77" s="205" t="s">
        <v>140</v>
      </c>
      <c r="N77" s="177">
        <v>6.0</v>
      </c>
      <c r="O77" s="183" t="s">
        <v>141</v>
      </c>
      <c r="P77" s="188"/>
      <c r="Q77" s="188"/>
    </row>
    <row r="78">
      <c r="A78" s="214">
        <v>421.0</v>
      </c>
      <c r="B78" s="190" t="s">
        <v>11</v>
      </c>
      <c r="C78" s="203"/>
      <c r="D78" s="202"/>
      <c r="E78" s="204"/>
      <c r="F78" s="183" t="s">
        <v>124</v>
      </c>
      <c r="G78" s="202" t="s">
        <v>129</v>
      </c>
      <c r="H78" s="193" t="s">
        <v>130</v>
      </c>
      <c r="I78" s="193" t="s">
        <v>142</v>
      </c>
      <c r="J78" s="177" t="s">
        <v>117</v>
      </c>
      <c r="K78" s="195">
        <v>45818.0</v>
      </c>
      <c r="L78" s="196"/>
      <c r="M78" s="205" t="s">
        <v>143</v>
      </c>
      <c r="N78" s="177">
        <v>15.0</v>
      </c>
      <c r="O78" s="183"/>
      <c r="P78" s="188"/>
      <c r="Q78" s="188"/>
    </row>
    <row r="79">
      <c r="A79" s="214">
        <v>421.0</v>
      </c>
      <c r="B79" s="190" t="s">
        <v>11</v>
      </c>
      <c r="C79" s="203"/>
      <c r="D79" s="202"/>
      <c r="E79" s="204"/>
      <c r="F79" s="183" t="s">
        <v>124</v>
      </c>
      <c r="G79" s="183" t="s">
        <v>125</v>
      </c>
      <c r="H79" s="193" t="s">
        <v>130</v>
      </c>
      <c r="I79" s="193" t="s">
        <v>144</v>
      </c>
      <c r="J79" s="177" t="s">
        <v>117</v>
      </c>
      <c r="K79" s="195">
        <v>45818.0</v>
      </c>
      <c r="L79" s="196"/>
      <c r="M79" s="205" t="s">
        <v>145</v>
      </c>
      <c r="N79" s="177">
        <v>5.0</v>
      </c>
      <c r="O79" s="183"/>
      <c r="P79" s="188"/>
      <c r="Q79" s="188"/>
    </row>
    <row r="80">
      <c r="A80" s="214">
        <v>421.0</v>
      </c>
      <c r="B80" s="190" t="s">
        <v>11</v>
      </c>
      <c r="C80" s="203"/>
      <c r="D80" s="202"/>
      <c r="E80" s="204"/>
      <c r="F80" s="183" t="s">
        <v>124</v>
      </c>
      <c r="G80" s="183" t="s">
        <v>125</v>
      </c>
      <c r="H80" s="193" t="s">
        <v>146</v>
      </c>
      <c r="I80" s="193" t="s">
        <v>147</v>
      </c>
      <c r="J80" s="177" t="s">
        <v>117</v>
      </c>
      <c r="K80" s="195">
        <v>45818.0</v>
      </c>
      <c r="L80" s="177" t="s">
        <v>118</v>
      </c>
      <c r="M80" s="205" t="s">
        <v>148</v>
      </c>
      <c r="N80" s="177">
        <v>8.0</v>
      </c>
      <c r="O80" s="183" t="s">
        <v>149</v>
      </c>
      <c r="P80" s="188"/>
      <c r="Q80" s="188"/>
    </row>
    <row r="81">
      <c r="A81" s="206">
        <v>421.0</v>
      </c>
      <c r="B81" s="179" t="s">
        <v>11</v>
      </c>
      <c r="C81" s="207">
        <v>45702.0</v>
      </c>
      <c r="D81" s="181" t="s">
        <v>199</v>
      </c>
      <c r="E81" s="182" t="s">
        <v>123</v>
      </c>
      <c r="F81" s="202" t="s">
        <v>116</v>
      </c>
      <c r="G81" s="209"/>
      <c r="H81" s="210"/>
      <c r="I81" s="193"/>
      <c r="J81" s="196"/>
      <c r="K81" s="195"/>
      <c r="L81" s="196"/>
      <c r="M81" s="205"/>
      <c r="N81" s="211"/>
      <c r="O81" s="183"/>
      <c r="P81" s="188"/>
      <c r="Q81" s="188"/>
    </row>
    <row r="82">
      <c r="A82" s="206">
        <v>422.0</v>
      </c>
      <c r="B82" s="179" t="s">
        <v>11</v>
      </c>
      <c r="C82" s="208"/>
      <c r="D82" s="181" t="s">
        <v>122</v>
      </c>
      <c r="E82" s="182" t="s">
        <v>123</v>
      </c>
      <c r="F82" s="183" t="s">
        <v>124</v>
      </c>
      <c r="G82" s="183" t="s">
        <v>125</v>
      </c>
      <c r="H82" s="185" t="s">
        <v>126</v>
      </c>
      <c r="I82" s="185" t="s">
        <v>127</v>
      </c>
      <c r="J82" s="177" t="s">
        <v>117</v>
      </c>
      <c r="K82" s="186">
        <v>45736.0</v>
      </c>
      <c r="L82" s="187"/>
      <c r="M82" s="183" t="s">
        <v>180</v>
      </c>
      <c r="N82" s="183">
        <v>35.0</v>
      </c>
      <c r="O82" s="223"/>
      <c r="P82" s="223"/>
      <c r="Q82" s="223"/>
    </row>
    <row r="83">
      <c r="A83" s="217">
        <v>422.0</v>
      </c>
      <c r="B83" s="198" t="s">
        <v>11</v>
      </c>
      <c r="C83" s="199"/>
      <c r="D83" s="200"/>
      <c r="E83" s="198"/>
      <c r="F83" s="202" t="s">
        <v>137</v>
      </c>
      <c r="G83" s="183" t="s">
        <v>125</v>
      </c>
      <c r="H83" s="193" t="s">
        <v>134</v>
      </c>
      <c r="I83" s="224" t="s">
        <v>200</v>
      </c>
      <c r="J83" s="177" t="s">
        <v>117</v>
      </c>
      <c r="K83" s="186">
        <v>45755.0</v>
      </c>
      <c r="L83" s="187"/>
      <c r="M83" s="183" t="s">
        <v>201</v>
      </c>
      <c r="N83" s="183">
        <v>11.0</v>
      </c>
      <c r="O83" s="183" t="s">
        <v>202</v>
      </c>
      <c r="P83" s="213"/>
      <c r="Q83" s="213"/>
    </row>
    <row r="84">
      <c r="A84" s="212">
        <v>422.0</v>
      </c>
      <c r="B84" s="199" t="s">
        <v>11</v>
      </c>
      <c r="C84" s="199"/>
      <c r="D84" s="200"/>
      <c r="E84" s="198"/>
      <c r="F84" s="202" t="s">
        <v>137</v>
      </c>
      <c r="G84" s="93" t="s">
        <v>129</v>
      </c>
      <c r="H84" s="93" t="s">
        <v>138</v>
      </c>
      <c r="I84" s="122" t="s">
        <v>203</v>
      </c>
      <c r="J84" s="177" t="s">
        <v>117</v>
      </c>
      <c r="K84" s="186">
        <v>45778.0</v>
      </c>
      <c r="L84" s="187"/>
      <c r="M84" s="183" t="s">
        <v>204</v>
      </c>
      <c r="N84" s="183">
        <v>8.0</v>
      </c>
      <c r="O84" s="183" t="s">
        <v>159</v>
      </c>
      <c r="P84" s="213"/>
      <c r="Q84" s="213"/>
    </row>
    <row r="85">
      <c r="A85" s="212">
        <v>422.0</v>
      </c>
      <c r="B85" s="199" t="s">
        <v>11</v>
      </c>
      <c r="C85" s="199"/>
      <c r="D85" s="200"/>
      <c r="E85" s="198"/>
      <c r="F85" s="202" t="s">
        <v>137</v>
      </c>
      <c r="G85" s="183" t="s">
        <v>125</v>
      </c>
      <c r="H85" s="93" t="s">
        <v>152</v>
      </c>
      <c r="I85" s="225" t="s">
        <v>205</v>
      </c>
      <c r="J85" s="177" t="s">
        <v>117</v>
      </c>
      <c r="K85" s="186">
        <v>45778.0</v>
      </c>
      <c r="L85" s="187"/>
      <c r="M85" s="183" t="s">
        <v>206</v>
      </c>
      <c r="N85" s="183">
        <v>65.0</v>
      </c>
      <c r="O85" s="226"/>
      <c r="P85" s="227"/>
      <c r="Q85" s="227"/>
    </row>
    <row r="86">
      <c r="A86" s="212">
        <v>422.0</v>
      </c>
      <c r="B86" s="199" t="s">
        <v>11</v>
      </c>
      <c r="C86" s="199"/>
      <c r="D86" s="200"/>
      <c r="E86" s="198"/>
      <c r="F86" s="202" t="s">
        <v>137</v>
      </c>
      <c r="G86" s="219" t="s">
        <v>156</v>
      </c>
      <c r="H86" s="93" t="s">
        <v>157</v>
      </c>
      <c r="I86" s="219" t="s">
        <v>156</v>
      </c>
      <c r="J86" s="177" t="s">
        <v>117</v>
      </c>
      <c r="K86" s="186">
        <v>45778.0</v>
      </c>
      <c r="L86" s="183" t="s">
        <v>118</v>
      </c>
      <c r="M86" s="183" t="s">
        <v>158</v>
      </c>
      <c r="N86" s="183">
        <v>20.0</v>
      </c>
      <c r="O86" s="183" t="s">
        <v>159</v>
      </c>
      <c r="P86" s="213"/>
      <c r="Q86" s="213"/>
    </row>
    <row r="87">
      <c r="A87" s="214">
        <v>422.0</v>
      </c>
      <c r="B87" s="190" t="s">
        <v>11</v>
      </c>
      <c r="C87" s="191"/>
      <c r="D87" s="192"/>
      <c r="E87" s="191"/>
      <c r="F87" s="183" t="s">
        <v>124</v>
      </c>
      <c r="G87" s="190" t="s">
        <v>129</v>
      </c>
      <c r="H87" s="193" t="s">
        <v>130</v>
      </c>
      <c r="I87" s="194" t="s">
        <v>131</v>
      </c>
      <c r="J87" s="177" t="s">
        <v>117</v>
      </c>
      <c r="K87" s="195">
        <v>45789.0</v>
      </c>
      <c r="L87" s="211"/>
      <c r="M87" s="188"/>
      <c r="N87" s="177">
        <v>25.0</v>
      </c>
      <c r="O87" s="183" t="s">
        <v>165</v>
      </c>
      <c r="P87" s="188"/>
      <c r="Q87" s="188"/>
    </row>
    <row r="88">
      <c r="A88" s="212">
        <v>422.0</v>
      </c>
      <c r="B88" s="198" t="s">
        <v>11</v>
      </c>
      <c r="C88" s="199"/>
      <c r="D88" s="200"/>
      <c r="E88" s="199"/>
      <c r="F88" s="183" t="s">
        <v>124</v>
      </c>
      <c r="G88" s="194" t="s">
        <v>133</v>
      </c>
      <c r="H88" s="93" t="s">
        <v>134</v>
      </c>
      <c r="I88" s="93" t="s">
        <v>135</v>
      </c>
      <c r="J88" s="177" t="s">
        <v>117</v>
      </c>
      <c r="K88" s="186">
        <v>45790.0</v>
      </c>
      <c r="L88" s="183" t="s">
        <v>118</v>
      </c>
      <c r="M88" s="183"/>
      <c r="N88" s="183">
        <v>75.0</v>
      </c>
      <c r="O88" s="183" t="s">
        <v>136</v>
      </c>
      <c r="P88" s="188"/>
      <c r="Q88" s="188"/>
    </row>
    <row r="89">
      <c r="A89" s="203">
        <v>422.0</v>
      </c>
      <c r="B89" s="202" t="s">
        <v>11</v>
      </c>
      <c r="C89" s="203"/>
      <c r="D89" s="202"/>
      <c r="E89" s="204"/>
      <c r="F89" s="202" t="s">
        <v>137</v>
      </c>
      <c r="G89" s="202" t="s">
        <v>129</v>
      </c>
      <c r="H89" s="193" t="s">
        <v>138</v>
      </c>
      <c r="I89" s="193" t="s">
        <v>139</v>
      </c>
      <c r="J89" s="177" t="s">
        <v>162</v>
      </c>
      <c r="K89" s="195"/>
      <c r="L89" s="196"/>
      <c r="M89" s="205"/>
      <c r="N89" s="211"/>
      <c r="O89" s="183"/>
      <c r="P89" s="188"/>
      <c r="Q89" s="188"/>
    </row>
    <row r="90">
      <c r="A90" s="214">
        <v>422.0</v>
      </c>
      <c r="B90" s="190" t="s">
        <v>11</v>
      </c>
      <c r="C90" s="203"/>
      <c r="D90" s="202"/>
      <c r="E90" s="204"/>
      <c r="F90" s="183" t="s">
        <v>124</v>
      </c>
      <c r="G90" s="202" t="s">
        <v>129</v>
      </c>
      <c r="H90" s="193" t="s">
        <v>130</v>
      </c>
      <c r="I90" s="193" t="s">
        <v>142</v>
      </c>
      <c r="J90" s="177" t="s">
        <v>117</v>
      </c>
      <c r="K90" s="195">
        <v>45818.0</v>
      </c>
      <c r="L90" s="196"/>
      <c r="M90" s="205" t="s">
        <v>143</v>
      </c>
      <c r="N90" s="177">
        <v>15.0</v>
      </c>
      <c r="O90" s="183"/>
      <c r="P90" s="188"/>
      <c r="Q90" s="188"/>
    </row>
    <row r="91">
      <c r="A91" s="214">
        <v>422.0</v>
      </c>
      <c r="B91" s="190" t="s">
        <v>11</v>
      </c>
      <c r="C91" s="203"/>
      <c r="D91" s="202"/>
      <c r="E91" s="204"/>
      <c r="F91" s="183" t="s">
        <v>124</v>
      </c>
      <c r="G91" s="183" t="s">
        <v>125</v>
      </c>
      <c r="H91" s="193" t="s">
        <v>130</v>
      </c>
      <c r="I91" s="193" t="s">
        <v>144</v>
      </c>
      <c r="J91" s="177" t="s">
        <v>117</v>
      </c>
      <c r="K91" s="195">
        <v>45818.0</v>
      </c>
      <c r="L91" s="196"/>
      <c r="M91" s="205" t="s">
        <v>145</v>
      </c>
      <c r="N91" s="177">
        <v>5.0</v>
      </c>
      <c r="O91" s="183"/>
      <c r="P91" s="188"/>
      <c r="Q91" s="188"/>
    </row>
    <row r="92">
      <c r="A92" s="214">
        <v>422.0</v>
      </c>
      <c r="B92" s="190" t="s">
        <v>11</v>
      </c>
      <c r="C92" s="203"/>
      <c r="D92" s="202"/>
      <c r="E92" s="204"/>
      <c r="F92" s="183" t="s">
        <v>124</v>
      </c>
      <c r="G92" s="183" t="s">
        <v>125</v>
      </c>
      <c r="H92" s="193" t="s">
        <v>146</v>
      </c>
      <c r="I92" s="193" t="s">
        <v>147</v>
      </c>
      <c r="J92" s="177" t="s">
        <v>117</v>
      </c>
      <c r="K92" s="195">
        <v>45818.0</v>
      </c>
      <c r="L92" s="177" t="s">
        <v>118</v>
      </c>
      <c r="M92" s="205" t="s">
        <v>148</v>
      </c>
      <c r="N92" s="177">
        <v>8.0</v>
      </c>
      <c r="O92" s="183" t="s">
        <v>149</v>
      </c>
      <c r="P92" s="188"/>
      <c r="Q92" s="188"/>
    </row>
    <row r="93">
      <c r="A93" s="206">
        <v>422.0</v>
      </c>
      <c r="B93" s="179" t="s">
        <v>11</v>
      </c>
      <c r="C93" s="207">
        <v>45702.0</v>
      </c>
      <c r="D93" s="181" t="s">
        <v>207</v>
      </c>
      <c r="E93" s="182" t="s">
        <v>123</v>
      </c>
      <c r="F93" s="202" t="s">
        <v>116</v>
      </c>
      <c r="G93" s="209"/>
      <c r="H93" s="210"/>
      <c r="I93" s="193"/>
      <c r="J93" s="196"/>
      <c r="K93" s="195"/>
      <c r="L93" s="196"/>
      <c r="M93" s="205"/>
      <c r="N93" s="211"/>
      <c r="O93" s="183"/>
      <c r="P93" s="188"/>
      <c r="Q93" s="188"/>
    </row>
    <row r="94">
      <c r="A94" s="206">
        <v>423.0</v>
      </c>
      <c r="B94" s="179" t="s">
        <v>11</v>
      </c>
      <c r="C94" s="208"/>
      <c r="D94" s="181" t="s">
        <v>122</v>
      </c>
      <c r="E94" s="182" t="s">
        <v>123</v>
      </c>
      <c r="F94" s="183" t="s">
        <v>124</v>
      </c>
      <c r="G94" s="183" t="s">
        <v>125</v>
      </c>
      <c r="H94" s="185" t="s">
        <v>126</v>
      </c>
      <c r="I94" s="185" t="s">
        <v>127</v>
      </c>
      <c r="J94" s="177" t="s">
        <v>117</v>
      </c>
      <c r="K94" s="186">
        <v>45736.0</v>
      </c>
      <c r="L94" s="187"/>
      <c r="M94" s="183" t="s">
        <v>208</v>
      </c>
      <c r="N94" s="183">
        <v>13.0</v>
      </c>
      <c r="O94" s="188"/>
      <c r="P94" s="188"/>
      <c r="Q94" s="188"/>
    </row>
    <row r="95">
      <c r="A95" s="214">
        <v>423.0</v>
      </c>
      <c r="B95" s="190" t="s">
        <v>11</v>
      </c>
      <c r="C95" s="191"/>
      <c r="D95" s="192"/>
      <c r="E95" s="191"/>
      <c r="F95" s="183" t="s">
        <v>124</v>
      </c>
      <c r="G95" s="190" t="s">
        <v>129</v>
      </c>
      <c r="H95" s="193" t="s">
        <v>130</v>
      </c>
      <c r="I95" s="194" t="s">
        <v>131</v>
      </c>
      <c r="J95" s="177" t="s">
        <v>117</v>
      </c>
      <c r="K95" s="195">
        <v>45789.0</v>
      </c>
      <c r="L95" s="211"/>
      <c r="M95" s="188"/>
      <c r="N95" s="177">
        <v>25.0</v>
      </c>
      <c r="O95" s="183" t="s">
        <v>165</v>
      </c>
      <c r="P95" s="188"/>
      <c r="Q95" s="188"/>
    </row>
    <row r="96">
      <c r="A96" s="212">
        <v>423.0</v>
      </c>
      <c r="B96" s="198" t="s">
        <v>11</v>
      </c>
      <c r="C96" s="199"/>
      <c r="D96" s="200"/>
      <c r="E96" s="199"/>
      <c r="F96" s="183" t="s">
        <v>124</v>
      </c>
      <c r="G96" s="194" t="s">
        <v>133</v>
      </c>
      <c r="H96" s="93" t="s">
        <v>134</v>
      </c>
      <c r="I96" s="93" t="s">
        <v>135</v>
      </c>
      <c r="J96" s="177" t="s">
        <v>117</v>
      </c>
      <c r="K96" s="186">
        <v>45790.0</v>
      </c>
      <c r="L96" s="183" t="s">
        <v>118</v>
      </c>
      <c r="M96" s="183"/>
      <c r="N96" s="183">
        <v>75.0</v>
      </c>
      <c r="O96" s="183" t="s">
        <v>136</v>
      </c>
      <c r="P96" s="188"/>
      <c r="Q96" s="188"/>
    </row>
    <row r="97">
      <c r="A97" s="203">
        <v>423.0</v>
      </c>
      <c r="B97" s="202" t="s">
        <v>11</v>
      </c>
      <c r="C97" s="203"/>
      <c r="D97" s="202"/>
      <c r="E97" s="204"/>
      <c r="F97" s="202" t="s">
        <v>137</v>
      </c>
      <c r="G97" s="202" t="s">
        <v>129</v>
      </c>
      <c r="H97" s="193" t="s">
        <v>138</v>
      </c>
      <c r="I97" s="193" t="s">
        <v>139</v>
      </c>
      <c r="J97" s="177" t="s">
        <v>117</v>
      </c>
      <c r="K97" s="195">
        <v>45796.0</v>
      </c>
      <c r="L97" s="177" t="s">
        <v>118</v>
      </c>
      <c r="M97" s="205" t="s">
        <v>140</v>
      </c>
      <c r="N97" s="177">
        <v>6.0</v>
      </c>
      <c r="O97" s="183" t="s">
        <v>141</v>
      </c>
      <c r="P97" s="188"/>
      <c r="Q97" s="188"/>
    </row>
    <row r="98">
      <c r="A98" s="214">
        <v>423.0</v>
      </c>
      <c r="B98" s="190" t="s">
        <v>11</v>
      </c>
      <c r="C98" s="214"/>
      <c r="D98" s="190"/>
      <c r="E98" s="191"/>
      <c r="F98" s="190" t="s">
        <v>116</v>
      </c>
      <c r="G98" s="228"/>
      <c r="H98" s="194" t="s">
        <v>157</v>
      </c>
      <c r="I98" s="194" t="s">
        <v>325</v>
      </c>
      <c r="J98" s="177" t="s">
        <v>117</v>
      </c>
      <c r="K98" s="177" t="s">
        <v>210</v>
      </c>
      <c r="L98" s="177" t="s">
        <v>211</v>
      </c>
      <c r="M98" s="205" t="s">
        <v>326</v>
      </c>
      <c r="N98" s="177">
        <v>60.0</v>
      </c>
      <c r="O98" s="183"/>
      <c r="P98" s="188"/>
      <c r="Q98" s="188"/>
    </row>
    <row r="99">
      <c r="A99" s="206">
        <v>423.0</v>
      </c>
      <c r="B99" s="179" t="s">
        <v>11</v>
      </c>
      <c r="C99" s="207">
        <v>45702.0</v>
      </c>
      <c r="D99" s="181" t="s">
        <v>213</v>
      </c>
      <c r="E99" s="182" t="s">
        <v>123</v>
      </c>
      <c r="F99" s="202" t="s">
        <v>116</v>
      </c>
      <c r="G99" s="209"/>
      <c r="H99" s="210"/>
      <c r="I99" s="193"/>
      <c r="J99" s="196"/>
      <c r="K99" s="195"/>
      <c r="L99" s="196"/>
      <c r="M99" s="205"/>
      <c r="N99" s="211"/>
      <c r="O99" s="183"/>
      <c r="P99" s="188"/>
      <c r="Q99" s="188"/>
    </row>
    <row r="100">
      <c r="A100" s="206">
        <v>424.0</v>
      </c>
      <c r="B100" s="179" t="s">
        <v>11</v>
      </c>
      <c r="C100" s="208"/>
      <c r="D100" s="181" t="s">
        <v>122</v>
      </c>
      <c r="E100" s="182" t="s">
        <v>123</v>
      </c>
      <c r="F100" s="183" t="s">
        <v>124</v>
      </c>
      <c r="G100" s="183" t="s">
        <v>125</v>
      </c>
      <c r="H100" s="185" t="s">
        <v>126</v>
      </c>
      <c r="I100" s="185" t="s">
        <v>127</v>
      </c>
      <c r="J100" s="177" t="s">
        <v>117</v>
      </c>
      <c r="K100" s="186">
        <v>45736.0</v>
      </c>
      <c r="L100" s="187"/>
      <c r="M100" s="183" t="s">
        <v>208</v>
      </c>
      <c r="N100" s="183">
        <v>13.0</v>
      </c>
      <c r="O100" s="188"/>
      <c r="P100" s="188"/>
      <c r="Q100" s="188"/>
    </row>
    <row r="101">
      <c r="A101" s="217">
        <v>424.0</v>
      </c>
      <c r="B101" s="198" t="s">
        <v>11</v>
      </c>
      <c r="C101" s="199"/>
      <c r="D101" s="200"/>
      <c r="E101" s="198"/>
      <c r="F101" s="202" t="s">
        <v>137</v>
      </c>
      <c r="G101" s="122" t="s">
        <v>194</v>
      </c>
      <c r="H101" s="92" t="s">
        <v>194</v>
      </c>
      <c r="I101" s="92" t="s">
        <v>214</v>
      </c>
      <c r="J101" s="177" t="s">
        <v>117</v>
      </c>
      <c r="K101" s="186">
        <v>45778.0</v>
      </c>
      <c r="L101" s="187"/>
      <c r="M101" s="183" t="s">
        <v>215</v>
      </c>
      <c r="N101" s="183">
        <v>8.0</v>
      </c>
      <c r="O101" s="188"/>
      <c r="P101" s="188"/>
      <c r="Q101" s="188"/>
    </row>
    <row r="102">
      <c r="A102" s="217">
        <v>424.0</v>
      </c>
      <c r="B102" s="198" t="s">
        <v>11</v>
      </c>
      <c r="C102" s="199"/>
      <c r="D102" s="200"/>
      <c r="E102" s="198"/>
      <c r="F102" s="202" t="s">
        <v>137</v>
      </c>
      <c r="G102" s="122" t="s">
        <v>156</v>
      </c>
      <c r="H102" s="93" t="s">
        <v>157</v>
      </c>
      <c r="I102" s="122" t="s">
        <v>156</v>
      </c>
      <c r="J102" s="177" t="s">
        <v>117</v>
      </c>
      <c r="K102" s="186">
        <v>45778.0</v>
      </c>
      <c r="L102" s="183" t="s">
        <v>118</v>
      </c>
      <c r="M102" s="183" t="s">
        <v>158</v>
      </c>
      <c r="N102" s="183">
        <v>20.0</v>
      </c>
      <c r="O102" s="183" t="s">
        <v>216</v>
      </c>
      <c r="P102" s="213"/>
      <c r="Q102" s="213"/>
    </row>
    <row r="103">
      <c r="A103" s="214">
        <v>424.0</v>
      </c>
      <c r="B103" s="190" t="s">
        <v>11</v>
      </c>
      <c r="C103" s="191"/>
      <c r="D103" s="192"/>
      <c r="E103" s="191"/>
      <c r="F103" s="183" t="s">
        <v>124</v>
      </c>
      <c r="G103" s="190" t="s">
        <v>129</v>
      </c>
      <c r="H103" s="193" t="s">
        <v>130</v>
      </c>
      <c r="I103" s="194" t="s">
        <v>131</v>
      </c>
      <c r="J103" s="177" t="s">
        <v>117</v>
      </c>
      <c r="K103" s="195">
        <v>45789.0</v>
      </c>
      <c r="L103" s="211"/>
      <c r="M103" s="188"/>
      <c r="N103" s="177">
        <v>25.0</v>
      </c>
      <c r="O103" s="183" t="s">
        <v>165</v>
      </c>
      <c r="P103" s="188"/>
      <c r="Q103" s="188"/>
    </row>
    <row r="104">
      <c r="A104" s="212">
        <v>424.0</v>
      </c>
      <c r="B104" s="198" t="s">
        <v>11</v>
      </c>
      <c r="C104" s="199"/>
      <c r="D104" s="200"/>
      <c r="E104" s="199"/>
      <c r="F104" s="183" t="s">
        <v>124</v>
      </c>
      <c r="G104" s="194" t="s">
        <v>133</v>
      </c>
      <c r="H104" s="93" t="s">
        <v>134</v>
      </c>
      <c r="I104" s="93" t="s">
        <v>135</v>
      </c>
      <c r="J104" s="177" t="s">
        <v>117</v>
      </c>
      <c r="K104" s="186">
        <v>45790.0</v>
      </c>
      <c r="L104" s="183" t="s">
        <v>118</v>
      </c>
      <c r="M104" s="183"/>
      <c r="N104" s="183">
        <v>75.0</v>
      </c>
      <c r="O104" s="183" t="s">
        <v>136</v>
      </c>
      <c r="P104" s="188"/>
      <c r="Q104" s="188"/>
    </row>
    <row r="105">
      <c r="A105" s="203">
        <v>424.0</v>
      </c>
      <c r="B105" s="202" t="s">
        <v>11</v>
      </c>
      <c r="C105" s="203"/>
      <c r="D105" s="202"/>
      <c r="E105" s="204"/>
      <c r="F105" s="202" t="s">
        <v>137</v>
      </c>
      <c r="G105" s="202" t="s">
        <v>129</v>
      </c>
      <c r="H105" s="193" t="s">
        <v>138</v>
      </c>
      <c r="I105" s="193" t="s">
        <v>139</v>
      </c>
      <c r="J105" s="177" t="s">
        <v>162</v>
      </c>
      <c r="K105" s="195"/>
      <c r="L105" s="196"/>
      <c r="M105" s="205"/>
      <c r="N105" s="211"/>
      <c r="O105" s="183"/>
      <c r="P105" s="188"/>
      <c r="Q105" s="188"/>
    </row>
    <row r="106">
      <c r="A106" s="214">
        <v>424.0</v>
      </c>
      <c r="B106" s="190" t="s">
        <v>11</v>
      </c>
      <c r="C106" s="203"/>
      <c r="D106" s="202"/>
      <c r="E106" s="204"/>
      <c r="F106" s="183" t="s">
        <v>124</v>
      </c>
      <c r="G106" s="202" t="s">
        <v>129</v>
      </c>
      <c r="H106" s="193" t="s">
        <v>130</v>
      </c>
      <c r="I106" s="193" t="s">
        <v>142</v>
      </c>
      <c r="J106" s="177" t="s">
        <v>117</v>
      </c>
      <c r="K106" s="195">
        <v>45818.0</v>
      </c>
      <c r="L106" s="196"/>
      <c r="M106" s="205" t="s">
        <v>143</v>
      </c>
      <c r="N106" s="177">
        <v>15.0</v>
      </c>
      <c r="O106" s="183"/>
      <c r="P106" s="188"/>
      <c r="Q106" s="188"/>
    </row>
    <row r="107">
      <c r="A107" s="214">
        <v>424.0</v>
      </c>
      <c r="B107" s="190" t="s">
        <v>11</v>
      </c>
      <c r="C107" s="203"/>
      <c r="D107" s="202"/>
      <c r="E107" s="204"/>
      <c r="F107" s="183" t="s">
        <v>124</v>
      </c>
      <c r="G107" s="183" t="s">
        <v>125</v>
      </c>
      <c r="H107" s="193" t="s">
        <v>130</v>
      </c>
      <c r="I107" s="193" t="s">
        <v>144</v>
      </c>
      <c r="J107" s="177" t="s">
        <v>117</v>
      </c>
      <c r="K107" s="195">
        <v>45818.0</v>
      </c>
      <c r="L107" s="196"/>
      <c r="M107" s="205" t="s">
        <v>145</v>
      </c>
      <c r="N107" s="177">
        <v>5.0</v>
      </c>
      <c r="O107" s="183"/>
      <c r="P107" s="188"/>
      <c r="Q107" s="188"/>
    </row>
    <row r="108">
      <c r="A108" s="214">
        <v>424.0</v>
      </c>
      <c r="B108" s="190" t="s">
        <v>11</v>
      </c>
      <c r="C108" s="203"/>
      <c r="D108" s="202"/>
      <c r="E108" s="204"/>
      <c r="F108" s="183" t="s">
        <v>124</v>
      </c>
      <c r="G108" s="183" t="s">
        <v>125</v>
      </c>
      <c r="H108" s="193" t="s">
        <v>146</v>
      </c>
      <c r="I108" s="193" t="s">
        <v>147</v>
      </c>
      <c r="J108" s="177" t="s">
        <v>117</v>
      </c>
      <c r="K108" s="195">
        <v>45818.0</v>
      </c>
      <c r="L108" s="177" t="s">
        <v>118</v>
      </c>
      <c r="M108" s="205" t="s">
        <v>148</v>
      </c>
      <c r="N108" s="177">
        <v>8.0</v>
      </c>
      <c r="O108" s="183" t="s">
        <v>149</v>
      </c>
      <c r="P108" s="188"/>
      <c r="Q108" s="188"/>
    </row>
    <row r="109">
      <c r="A109" s="206">
        <v>424.0</v>
      </c>
      <c r="B109" s="179" t="s">
        <v>11</v>
      </c>
      <c r="C109" s="207">
        <v>45702.0</v>
      </c>
      <c r="D109" s="181" t="s">
        <v>217</v>
      </c>
      <c r="E109" s="182" t="s">
        <v>123</v>
      </c>
      <c r="F109" s="202" t="s">
        <v>116</v>
      </c>
      <c r="G109" s="209"/>
      <c r="H109" s="210"/>
      <c r="I109" s="193"/>
      <c r="J109" s="196"/>
      <c r="K109" s="195"/>
      <c r="L109" s="196"/>
      <c r="M109" s="205"/>
      <c r="N109" s="211"/>
      <c r="O109" s="183"/>
      <c r="P109" s="188"/>
      <c r="Q109" s="188"/>
    </row>
    <row r="110">
      <c r="A110" s="206">
        <v>425.0</v>
      </c>
      <c r="B110" s="179" t="s">
        <v>11</v>
      </c>
      <c r="C110" s="208"/>
      <c r="D110" s="181" t="s">
        <v>122</v>
      </c>
      <c r="E110" s="182" t="s">
        <v>123</v>
      </c>
      <c r="F110" s="183" t="s">
        <v>124</v>
      </c>
      <c r="G110" s="183" t="s">
        <v>125</v>
      </c>
      <c r="H110" s="185" t="s">
        <v>126</v>
      </c>
      <c r="I110" s="185" t="s">
        <v>127</v>
      </c>
      <c r="J110" s="177" t="s">
        <v>117</v>
      </c>
      <c r="K110" s="186">
        <v>45736.0</v>
      </c>
      <c r="L110" s="183" t="s">
        <v>118</v>
      </c>
      <c r="M110" s="183" t="s">
        <v>176</v>
      </c>
      <c r="N110" s="183">
        <v>12.0</v>
      </c>
      <c r="O110" s="188"/>
      <c r="P110" s="188"/>
      <c r="Q110" s="188"/>
    </row>
    <row r="111">
      <c r="A111" s="214">
        <v>425.0</v>
      </c>
      <c r="B111" s="190" t="s">
        <v>11</v>
      </c>
      <c r="C111" s="191"/>
      <c r="D111" s="192"/>
      <c r="E111" s="191"/>
      <c r="F111" s="183" t="s">
        <v>124</v>
      </c>
      <c r="G111" s="190" t="s">
        <v>129</v>
      </c>
      <c r="H111" s="193" t="s">
        <v>130</v>
      </c>
      <c r="I111" s="194" t="s">
        <v>131</v>
      </c>
      <c r="J111" s="177" t="s">
        <v>117</v>
      </c>
      <c r="K111" s="195">
        <v>45789.0</v>
      </c>
      <c r="L111" s="211"/>
      <c r="M111" s="188"/>
      <c r="N111" s="177">
        <v>25.0</v>
      </c>
      <c r="O111" s="183" t="s">
        <v>165</v>
      </c>
      <c r="P111" s="188"/>
      <c r="Q111" s="188"/>
    </row>
    <row r="112">
      <c r="A112" s="212">
        <v>425.0</v>
      </c>
      <c r="B112" s="198" t="s">
        <v>11</v>
      </c>
      <c r="C112" s="199"/>
      <c r="D112" s="200"/>
      <c r="E112" s="199"/>
      <c r="F112" s="183" t="s">
        <v>124</v>
      </c>
      <c r="G112" s="194" t="s">
        <v>133</v>
      </c>
      <c r="H112" s="93" t="s">
        <v>134</v>
      </c>
      <c r="I112" s="93" t="s">
        <v>135</v>
      </c>
      <c r="J112" s="177" t="s">
        <v>117</v>
      </c>
      <c r="K112" s="186">
        <v>45790.0</v>
      </c>
      <c r="L112" s="183" t="s">
        <v>118</v>
      </c>
      <c r="M112" s="183"/>
      <c r="N112" s="183">
        <v>75.0</v>
      </c>
      <c r="O112" s="183" t="s">
        <v>136</v>
      </c>
      <c r="P112" s="188"/>
      <c r="Q112" s="188"/>
    </row>
    <row r="113">
      <c r="A113" s="203">
        <v>425.0</v>
      </c>
      <c r="B113" s="202" t="s">
        <v>11</v>
      </c>
      <c r="C113" s="203"/>
      <c r="D113" s="202"/>
      <c r="E113" s="204"/>
      <c r="F113" s="202" t="s">
        <v>137</v>
      </c>
      <c r="G113" s="202" t="s">
        <v>129</v>
      </c>
      <c r="H113" s="193" t="s">
        <v>138</v>
      </c>
      <c r="I113" s="193" t="s">
        <v>139</v>
      </c>
      <c r="J113" s="177" t="s">
        <v>162</v>
      </c>
      <c r="K113" s="195"/>
      <c r="L113" s="196"/>
      <c r="M113" s="205"/>
      <c r="N113" s="211"/>
      <c r="O113" s="183"/>
      <c r="P113" s="188"/>
      <c r="Q113" s="188"/>
    </row>
    <row r="114">
      <c r="A114" s="214">
        <v>425.0</v>
      </c>
      <c r="B114" s="190" t="s">
        <v>11</v>
      </c>
      <c r="C114" s="203"/>
      <c r="D114" s="202"/>
      <c r="E114" s="204"/>
      <c r="F114" s="183" t="s">
        <v>124</v>
      </c>
      <c r="G114" s="202" t="s">
        <v>129</v>
      </c>
      <c r="H114" s="193" t="s">
        <v>130</v>
      </c>
      <c r="I114" s="193" t="s">
        <v>142</v>
      </c>
      <c r="J114" s="177" t="s">
        <v>117</v>
      </c>
      <c r="K114" s="195">
        <v>45818.0</v>
      </c>
      <c r="L114" s="196"/>
      <c r="M114" s="205" t="s">
        <v>143</v>
      </c>
      <c r="N114" s="177">
        <v>15.0</v>
      </c>
      <c r="O114" s="183"/>
      <c r="P114" s="188"/>
      <c r="Q114" s="188"/>
    </row>
    <row r="115">
      <c r="A115" s="214">
        <v>425.0</v>
      </c>
      <c r="B115" s="190" t="s">
        <v>11</v>
      </c>
      <c r="C115" s="203"/>
      <c r="D115" s="202"/>
      <c r="E115" s="204"/>
      <c r="F115" s="183" t="s">
        <v>124</v>
      </c>
      <c r="G115" s="183" t="s">
        <v>125</v>
      </c>
      <c r="H115" s="193" t="s">
        <v>130</v>
      </c>
      <c r="I115" s="193" t="s">
        <v>144</v>
      </c>
      <c r="J115" s="177" t="s">
        <v>117</v>
      </c>
      <c r="K115" s="195">
        <v>45818.0</v>
      </c>
      <c r="L115" s="196"/>
      <c r="M115" s="205" t="s">
        <v>145</v>
      </c>
      <c r="N115" s="177">
        <v>5.0</v>
      </c>
      <c r="O115" s="183"/>
      <c r="P115" s="188"/>
      <c r="Q115" s="188"/>
    </row>
    <row r="116">
      <c r="A116" s="214">
        <v>425.0</v>
      </c>
      <c r="B116" s="190" t="s">
        <v>11</v>
      </c>
      <c r="C116" s="203"/>
      <c r="D116" s="202"/>
      <c r="E116" s="204"/>
      <c r="F116" s="183" t="s">
        <v>124</v>
      </c>
      <c r="G116" s="183" t="s">
        <v>125</v>
      </c>
      <c r="H116" s="193" t="s">
        <v>146</v>
      </c>
      <c r="I116" s="193" t="s">
        <v>147</v>
      </c>
      <c r="J116" s="177" t="s">
        <v>117</v>
      </c>
      <c r="K116" s="195">
        <v>45818.0</v>
      </c>
      <c r="L116" s="177" t="s">
        <v>118</v>
      </c>
      <c r="M116" s="205" t="s">
        <v>148</v>
      </c>
      <c r="N116" s="177">
        <v>8.0</v>
      </c>
      <c r="O116" s="183" t="s">
        <v>149</v>
      </c>
      <c r="P116" s="188"/>
      <c r="Q116" s="188"/>
    </row>
    <row r="117">
      <c r="A117" s="206">
        <v>425.0</v>
      </c>
      <c r="B117" s="179" t="s">
        <v>11</v>
      </c>
      <c r="C117" s="207">
        <v>45702.0</v>
      </c>
      <c r="D117" s="181" t="s">
        <v>218</v>
      </c>
      <c r="E117" s="182" t="s">
        <v>123</v>
      </c>
      <c r="F117" s="202" t="s">
        <v>116</v>
      </c>
      <c r="G117" s="209"/>
      <c r="H117" s="210"/>
      <c r="I117" s="193"/>
      <c r="J117" s="196"/>
      <c r="K117" s="195"/>
      <c r="L117" s="196"/>
      <c r="M117" s="205"/>
      <c r="N117" s="211"/>
      <c r="O117" s="183"/>
      <c r="P117" s="188"/>
      <c r="Q117" s="188"/>
    </row>
    <row r="118">
      <c r="A118" s="206">
        <v>426.0</v>
      </c>
      <c r="B118" s="179" t="s">
        <v>11</v>
      </c>
      <c r="C118" s="208"/>
      <c r="D118" s="181" t="s">
        <v>122</v>
      </c>
      <c r="E118" s="182" t="s">
        <v>123</v>
      </c>
      <c r="F118" s="183" t="s">
        <v>124</v>
      </c>
      <c r="G118" s="183" t="s">
        <v>125</v>
      </c>
      <c r="H118" s="185" t="s">
        <v>126</v>
      </c>
      <c r="I118" s="185" t="s">
        <v>127</v>
      </c>
      <c r="J118" s="177" t="s">
        <v>117</v>
      </c>
      <c r="K118" s="186">
        <v>45736.0</v>
      </c>
      <c r="L118" s="187"/>
      <c r="M118" s="183" t="s">
        <v>176</v>
      </c>
      <c r="N118" s="183">
        <v>12.0</v>
      </c>
      <c r="O118" s="188"/>
      <c r="P118" s="188"/>
      <c r="Q118" s="188"/>
    </row>
    <row r="119">
      <c r="A119" s="217">
        <v>426.0</v>
      </c>
      <c r="B119" s="198" t="s">
        <v>11</v>
      </c>
      <c r="C119" s="199"/>
      <c r="D119" s="200"/>
      <c r="E119" s="198"/>
      <c r="F119" s="202" t="s">
        <v>137</v>
      </c>
      <c r="G119" s="183" t="s">
        <v>125</v>
      </c>
      <c r="H119" s="92" t="s">
        <v>182</v>
      </c>
      <c r="I119" s="92" t="s">
        <v>219</v>
      </c>
      <c r="J119" s="177" t="s">
        <v>117</v>
      </c>
      <c r="K119" s="186">
        <v>45756.0</v>
      </c>
      <c r="L119" s="183" t="s">
        <v>118</v>
      </c>
      <c r="M119" s="183" t="s">
        <v>220</v>
      </c>
      <c r="N119" s="183">
        <v>6.0</v>
      </c>
      <c r="O119" s="188"/>
      <c r="P119" s="188"/>
      <c r="Q119" s="188"/>
    </row>
    <row r="120">
      <c r="A120" s="214">
        <v>426.0</v>
      </c>
      <c r="B120" s="190" t="s">
        <v>11</v>
      </c>
      <c r="C120" s="191"/>
      <c r="D120" s="192"/>
      <c r="E120" s="191"/>
      <c r="F120" s="183" t="s">
        <v>124</v>
      </c>
      <c r="G120" s="190" t="s">
        <v>129</v>
      </c>
      <c r="H120" s="193" t="s">
        <v>130</v>
      </c>
      <c r="I120" s="194" t="s">
        <v>131</v>
      </c>
      <c r="J120" s="177" t="s">
        <v>117</v>
      </c>
      <c r="K120" s="195">
        <v>45789.0</v>
      </c>
      <c r="L120" s="211"/>
      <c r="M120" s="188"/>
      <c r="N120" s="177">
        <v>25.0</v>
      </c>
      <c r="O120" s="183" t="s">
        <v>165</v>
      </c>
      <c r="P120" s="188"/>
      <c r="Q120" s="188"/>
    </row>
    <row r="121">
      <c r="A121" s="212">
        <v>426.0</v>
      </c>
      <c r="B121" s="198" t="s">
        <v>11</v>
      </c>
      <c r="C121" s="199"/>
      <c r="D121" s="200"/>
      <c r="E121" s="199"/>
      <c r="F121" s="183" t="s">
        <v>124</v>
      </c>
      <c r="G121" s="194" t="s">
        <v>133</v>
      </c>
      <c r="H121" s="93" t="s">
        <v>134</v>
      </c>
      <c r="I121" s="93" t="s">
        <v>135</v>
      </c>
      <c r="J121" s="177" t="s">
        <v>117</v>
      </c>
      <c r="K121" s="186">
        <v>45790.0</v>
      </c>
      <c r="L121" s="183" t="s">
        <v>118</v>
      </c>
      <c r="M121" s="183"/>
      <c r="N121" s="183">
        <v>75.0</v>
      </c>
      <c r="O121" s="183" t="s">
        <v>136</v>
      </c>
      <c r="P121" s="188"/>
      <c r="Q121" s="188"/>
    </row>
    <row r="122">
      <c r="A122" s="203">
        <v>426.0</v>
      </c>
      <c r="B122" s="202" t="s">
        <v>11</v>
      </c>
      <c r="C122" s="203"/>
      <c r="D122" s="202"/>
      <c r="E122" s="204"/>
      <c r="F122" s="202" t="s">
        <v>137</v>
      </c>
      <c r="G122" s="202" t="s">
        <v>129</v>
      </c>
      <c r="H122" s="193" t="s">
        <v>138</v>
      </c>
      <c r="I122" s="193" t="s">
        <v>139</v>
      </c>
      <c r="J122" s="177" t="s">
        <v>117</v>
      </c>
      <c r="K122" s="195">
        <v>45796.0</v>
      </c>
      <c r="L122" s="177" t="s">
        <v>118</v>
      </c>
      <c r="M122" s="205" t="s">
        <v>140</v>
      </c>
      <c r="N122" s="177">
        <v>6.0</v>
      </c>
      <c r="O122" s="183" t="s">
        <v>141</v>
      </c>
      <c r="P122" s="188"/>
      <c r="Q122" s="188"/>
    </row>
    <row r="123">
      <c r="A123" s="214">
        <v>426.0</v>
      </c>
      <c r="B123" s="190" t="s">
        <v>11</v>
      </c>
      <c r="C123" s="203"/>
      <c r="D123" s="202"/>
      <c r="E123" s="204"/>
      <c r="F123" s="183" t="s">
        <v>124</v>
      </c>
      <c r="G123" s="202" t="s">
        <v>129</v>
      </c>
      <c r="H123" s="193" t="s">
        <v>130</v>
      </c>
      <c r="I123" s="193" t="s">
        <v>142</v>
      </c>
      <c r="J123" s="177" t="s">
        <v>117</v>
      </c>
      <c r="K123" s="195">
        <v>45818.0</v>
      </c>
      <c r="L123" s="196"/>
      <c r="M123" s="205" t="s">
        <v>143</v>
      </c>
      <c r="N123" s="177">
        <v>15.0</v>
      </c>
      <c r="O123" s="183"/>
      <c r="P123" s="188"/>
      <c r="Q123" s="188"/>
    </row>
    <row r="124">
      <c r="A124" s="214">
        <v>426.0</v>
      </c>
      <c r="B124" s="190" t="s">
        <v>11</v>
      </c>
      <c r="C124" s="203"/>
      <c r="D124" s="202"/>
      <c r="E124" s="204"/>
      <c r="F124" s="183" t="s">
        <v>124</v>
      </c>
      <c r="G124" s="183" t="s">
        <v>125</v>
      </c>
      <c r="H124" s="193" t="s">
        <v>130</v>
      </c>
      <c r="I124" s="193" t="s">
        <v>144</v>
      </c>
      <c r="J124" s="177" t="s">
        <v>117</v>
      </c>
      <c r="K124" s="195">
        <v>45818.0</v>
      </c>
      <c r="L124" s="196"/>
      <c r="M124" s="205" t="s">
        <v>145</v>
      </c>
      <c r="N124" s="177">
        <v>5.0</v>
      </c>
      <c r="O124" s="183"/>
      <c r="P124" s="188"/>
      <c r="Q124" s="188"/>
    </row>
    <row r="125">
      <c r="A125" s="214">
        <v>426.0</v>
      </c>
      <c r="B125" s="190" t="s">
        <v>11</v>
      </c>
      <c r="C125" s="203"/>
      <c r="D125" s="202"/>
      <c r="E125" s="204"/>
      <c r="F125" s="183" t="s">
        <v>124</v>
      </c>
      <c r="G125" s="183" t="s">
        <v>125</v>
      </c>
      <c r="H125" s="193" t="s">
        <v>146</v>
      </c>
      <c r="I125" s="193" t="s">
        <v>147</v>
      </c>
      <c r="J125" s="177" t="s">
        <v>117</v>
      </c>
      <c r="K125" s="195">
        <v>45818.0</v>
      </c>
      <c r="L125" s="177" t="s">
        <v>118</v>
      </c>
      <c r="M125" s="205" t="s">
        <v>148</v>
      </c>
      <c r="N125" s="177">
        <v>8.0</v>
      </c>
      <c r="O125" s="183" t="s">
        <v>149</v>
      </c>
      <c r="P125" s="188"/>
      <c r="Q125" s="188"/>
    </row>
    <row r="126">
      <c r="A126" s="206">
        <v>426.0</v>
      </c>
      <c r="B126" s="179" t="s">
        <v>11</v>
      </c>
      <c r="C126" s="207">
        <v>45702.0</v>
      </c>
      <c r="D126" s="181" t="s">
        <v>221</v>
      </c>
      <c r="E126" s="182" t="s">
        <v>123</v>
      </c>
      <c r="F126" s="202" t="s">
        <v>116</v>
      </c>
      <c r="G126" s="209"/>
      <c r="H126" s="210"/>
      <c r="I126" s="193"/>
      <c r="J126" s="196"/>
      <c r="K126" s="195"/>
      <c r="L126" s="196"/>
      <c r="M126" s="205"/>
      <c r="N126" s="211"/>
      <c r="O126" s="183"/>
      <c r="P126" s="188"/>
      <c r="Q126" s="188"/>
    </row>
    <row r="127">
      <c r="A127" s="206">
        <v>427.0</v>
      </c>
      <c r="B127" s="179" t="s">
        <v>11</v>
      </c>
      <c r="C127" s="208"/>
      <c r="D127" s="181" t="s">
        <v>122</v>
      </c>
      <c r="E127" s="182" t="s">
        <v>123</v>
      </c>
      <c r="F127" s="183" t="s">
        <v>124</v>
      </c>
      <c r="G127" s="183" t="s">
        <v>125</v>
      </c>
      <c r="H127" s="185" t="s">
        <v>126</v>
      </c>
      <c r="I127" s="185" t="s">
        <v>127</v>
      </c>
      <c r="J127" s="177" t="s">
        <v>117</v>
      </c>
      <c r="K127" s="186">
        <v>45736.0</v>
      </c>
      <c r="L127" s="187"/>
      <c r="M127" s="183" t="s">
        <v>164</v>
      </c>
      <c r="N127" s="183">
        <v>35.0</v>
      </c>
      <c r="O127" s="188"/>
      <c r="P127" s="188"/>
      <c r="Q127" s="188"/>
    </row>
    <row r="128">
      <c r="A128" s="206">
        <v>427.0</v>
      </c>
      <c r="B128" s="198" t="s">
        <v>11</v>
      </c>
      <c r="C128" s="208"/>
      <c r="D128" s="181"/>
      <c r="E128" s="182"/>
      <c r="F128" s="202" t="s">
        <v>137</v>
      </c>
      <c r="G128" s="183" t="s">
        <v>125</v>
      </c>
      <c r="H128" s="185" t="s">
        <v>181</v>
      </c>
      <c r="I128" s="185" t="s">
        <v>222</v>
      </c>
      <c r="J128" s="177" t="s">
        <v>117</v>
      </c>
      <c r="K128" s="186">
        <v>45777.0</v>
      </c>
      <c r="L128" s="187"/>
      <c r="M128" s="183" t="s">
        <v>223</v>
      </c>
      <c r="N128" s="183">
        <v>6.0</v>
      </c>
      <c r="O128" s="188"/>
      <c r="P128" s="188"/>
      <c r="Q128" s="188"/>
    </row>
    <row r="129">
      <c r="A129" s="214">
        <v>427.0</v>
      </c>
      <c r="B129" s="190" t="s">
        <v>11</v>
      </c>
      <c r="C129" s="191"/>
      <c r="D129" s="192"/>
      <c r="E129" s="191"/>
      <c r="F129" s="183" t="s">
        <v>124</v>
      </c>
      <c r="G129" s="190" t="s">
        <v>129</v>
      </c>
      <c r="H129" s="193" t="s">
        <v>130</v>
      </c>
      <c r="I129" s="194" t="s">
        <v>131</v>
      </c>
      <c r="J129" s="177" t="s">
        <v>117</v>
      </c>
      <c r="K129" s="195">
        <v>45789.0</v>
      </c>
      <c r="L129" s="211"/>
      <c r="M129" s="188"/>
      <c r="N129" s="177">
        <v>25.0</v>
      </c>
      <c r="O129" s="183" t="s">
        <v>165</v>
      </c>
      <c r="P129" s="188"/>
      <c r="Q129" s="188"/>
    </row>
    <row r="130">
      <c r="A130" s="212">
        <v>427.0</v>
      </c>
      <c r="B130" s="198" t="s">
        <v>11</v>
      </c>
      <c r="C130" s="199"/>
      <c r="D130" s="200"/>
      <c r="E130" s="199"/>
      <c r="F130" s="183" t="s">
        <v>124</v>
      </c>
      <c r="G130" s="194" t="s">
        <v>133</v>
      </c>
      <c r="H130" s="93" t="s">
        <v>134</v>
      </c>
      <c r="I130" s="93" t="s">
        <v>135</v>
      </c>
      <c r="J130" s="177" t="s">
        <v>117</v>
      </c>
      <c r="K130" s="186">
        <v>45790.0</v>
      </c>
      <c r="L130" s="187"/>
      <c r="M130" s="183"/>
      <c r="N130" s="183">
        <v>75.0</v>
      </c>
      <c r="O130" s="183" t="s">
        <v>136</v>
      </c>
      <c r="P130" s="188"/>
      <c r="Q130" s="188"/>
    </row>
    <row r="131">
      <c r="A131" s="203">
        <v>427.0</v>
      </c>
      <c r="B131" s="202" t="s">
        <v>11</v>
      </c>
      <c r="C131" s="203"/>
      <c r="D131" s="202"/>
      <c r="E131" s="204"/>
      <c r="F131" s="202" t="s">
        <v>137</v>
      </c>
      <c r="G131" s="202" t="s">
        <v>129</v>
      </c>
      <c r="H131" s="193" t="s">
        <v>138</v>
      </c>
      <c r="I131" s="193" t="s">
        <v>139</v>
      </c>
      <c r="J131" s="177" t="s">
        <v>117</v>
      </c>
      <c r="K131" s="195">
        <v>45796.0</v>
      </c>
      <c r="L131" s="196"/>
      <c r="M131" s="205" t="s">
        <v>224</v>
      </c>
      <c r="N131" s="177">
        <v>6.0</v>
      </c>
      <c r="O131" s="183" t="s">
        <v>141</v>
      </c>
      <c r="P131" s="188"/>
      <c r="Q131" s="188"/>
    </row>
    <row r="132">
      <c r="A132" s="214">
        <v>427.0</v>
      </c>
      <c r="B132" s="190" t="s">
        <v>11</v>
      </c>
      <c r="C132" s="214"/>
      <c r="D132" s="190"/>
      <c r="E132" s="191"/>
      <c r="F132" s="202" t="s">
        <v>137</v>
      </c>
      <c r="G132" s="190" t="s">
        <v>129</v>
      </c>
      <c r="H132" s="93" t="s">
        <v>182</v>
      </c>
      <c r="I132" s="93" t="s">
        <v>79</v>
      </c>
      <c r="J132" s="177" t="s">
        <v>117</v>
      </c>
      <c r="K132" s="195">
        <v>45819.0</v>
      </c>
      <c r="L132" s="196"/>
      <c r="M132" s="205" t="s">
        <v>225</v>
      </c>
      <c r="N132" s="177">
        <v>11.0</v>
      </c>
      <c r="O132" s="183" t="s">
        <v>226</v>
      </c>
      <c r="P132" s="188"/>
      <c r="Q132" s="188"/>
    </row>
    <row r="133">
      <c r="A133" s="229">
        <v>427.0</v>
      </c>
      <c r="B133" s="230" t="s">
        <v>11</v>
      </c>
      <c r="C133" s="229"/>
      <c r="D133" s="230"/>
      <c r="E133" s="231"/>
      <c r="F133" s="202" t="s">
        <v>137</v>
      </c>
      <c r="G133" s="230" t="s">
        <v>129</v>
      </c>
      <c r="H133" s="232" t="s">
        <v>182</v>
      </c>
      <c r="I133" s="233" t="s">
        <v>227</v>
      </c>
      <c r="J133" s="177" t="s">
        <v>117</v>
      </c>
      <c r="K133" s="195">
        <v>45824.0</v>
      </c>
      <c r="L133" s="177" t="s">
        <v>118</v>
      </c>
      <c r="M133" s="205" t="s">
        <v>228</v>
      </c>
      <c r="N133" s="177">
        <v>38.0</v>
      </c>
      <c r="O133" s="183" t="s">
        <v>226</v>
      </c>
      <c r="P133" s="188"/>
      <c r="Q133" s="188"/>
    </row>
    <row r="134">
      <c r="A134" s="214">
        <v>427.0</v>
      </c>
      <c r="B134" s="190" t="s">
        <v>11</v>
      </c>
      <c r="C134" s="203"/>
      <c r="D134" s="202"/>
      <c r="E134" s="204"/>
      <c r="F134" s="183" t="s">
        <v>124</v>
      </c>
      <c r="G134" s="202" t="s">
        <v>129</v>
      </c>
      <c r="H134" s="193" t="s">
        <v>130</v>
      </c>
      <c r="I134" s="193" t="s">
        <v>142</v>
      </c>
      <c r="J134" s="177" t="s">
        <v>117</v>
      </c>
      <c r="K134" s="195">
        <v>45818.0</v>
      </c>
      <c r="L134" s="196"/>
      <c r="M134" s="205" t="s">
        <v>143</v>
      </c>
      <c r="N134" s="177">
        <v>15.0</v>
      </c>
      <c r="O134" s="183"/>
      <c r="P134" s="188"/>
      <c r="Q134" s="188"/>
    </row>
    <row r="135">
      <c r="A135" s="214">
        <v>427.0</v>
      </c>
      <c r="B135" s="190" t="s">
        <v>11</v>
      </c>
      <c r="C135" s="203"/>
      <c r="D135" s="202"/>
      <c r="E135" s="204"/>
      <c r="F135" s="183" t="s">
        <v>124</v>
      </c>
      <c r="G135" s="183" t="s">
        <v>125</v>
      </c>
      <c r="H135" s="193" t="s">
        <v>130</v>
      </c>
      <c r="I135" s="193" t="s">
        <v>144</v>
      </c>
      <c r="J135" s="177" t="s">
        <v>117</v>
      </c>
      <c r="K135" s="195">
        <v>45818.0</v>
      </c>
      <c r="L135" s="196"/>
      <c r="M135" s="205" t="s">
        <v>145</v>
      </c>
      <c r="N135" s="177">
        <v>5.0</v>
      </c>
      <c r="O135" s="183"/>
      <c r="P135" s="188"/>
      <c r="Q135" s="188"/>
    </row>
    <row r="136">
      <c r="A136" s="214">
        <v>427.0</v>
      </c>
      <c r="B136" s="190" t="s">
        <v>11</v>
      </c>
      <c r="C136" s="203"/>
      <c r="D136" s="202"/>
      <c r="E136" s="204"/>
      <c r="F136" s="183" t="s">
        <v>124</v>
      </c>
      <c r="G136" s="183" t="s">
        <v>125</v>
      </c>
      <c r="H136" s="193" t="s">
        <v>146</v>
      </c>
      <c r="I136" s="193" t="s">
        <v>147</v>
      </c>
      <c r="J136" s="177" t="s">
        <v>117</v>
      </c>
      <c r="K136" s="195">
        <v>45818.0</v>
      </c>
      <c r="L136" s="177" t="s">
        <v>118</v>
      </c>
      <c r="M136" s="205" t="s">
        <v>148</v>
      </c>
      <c r="N136" s="177">
        <v>8.0</v>
      </c>
      <c r="O136" s="183" t="s">
        <v>149</v>
      </c>
      <c r="P136" s="188"/>
      <c r="Q136" s="188"/>
    </row>
    <row r="137">
      <c r="A137" s="206">
        <v>427.0</v>
      </c>
      <c r="B137" s="179" t="s">
        <v>11</v>
      </c>
      <c r="C137" s="207">
        <v>45702.0</v>
      </c>
      <c r="D137" s="181" t="s">
        <v>229</v>
      </c>
      <c r="E137" s="182" t="s">
        <v>123</v>
      </c>
      <c r="F137" s="202" t="s">
        <v>116</v>
      </c>
      <c r="G137" s="209"/>
      <c r="H137" s="210"/>
      <c r="I137" s="193"/>
      <c r="J137" s="196"/>
      <c r="K137" s="195"/>
      <c r="L137" s="196"/>
      <c r="M137" s="205"/>
      <c r="N137" s="211"/>
      <c r="O137" s="183"/>
      <c r="P137" s="188"/>
      <c r="Q137" s="188"/>
    </row>
    <row r="138">
      <c r="A138" s="217">
        <v>428.0</v>
      </c>
      <c r="B138" s="179" t="s">
        <v>11</v>
      </c>
      <c r="C138" s="208"/>
      <c r="D138" s="181" t="s">
        <v>122</v>
      </c>
      <c r="E138" s="182" t="s">
        <v>123</v>
      </c>
      <c r="F138" s="183" t="s">
        <v>124</v>
      </c>
      <c r="G138" s="183" t="s">
        <v>125</v>
      </c>
      <c r="H138" s="185" t="s">
        <v>126</v>
      </c>
      <c r="I138" s="185" t="s">
        <v>127</v>
      </c>
      <c r="J138" s="177" t="s">
        <v>117</v>
      </c>
      <c r="K138" s="186">
        <v>45736.0</v>
      </c>
      <c r="L138" s="187"/>
      <c r="M138" s="183" t="s">
        <v>230</v>
      </c>
      <c r="N138" s="183">
        <v>14.0</v>
      </c>
      <c r="O138" s="188"/>
      <c r="P138" s="188"/>
      <c r="Q138" s="188"/>
    </row>
    <row r="139">
      <c r="A139" s="217">
        <v>428.0</v>
      </c>
      <c r="B139" s="179" t="s">
        <v>11</v>
      </c>
      <c r="C139" s="199"/>
      <c r="D139" s="200"/>
      <c r="E139" s="198"/>
      <c r="F139" s="202" t="s">
        <v>137</v>
      </c>
      <c r="G139" s="194" t="s">
        <v>194</v>
      </c>
      <c r="H139" s="92" t="s">
        <v>194</v>
      </c>
      <c r="I139" s="92" t="s">
        <v>231</v>
      </c>
      <c r="J139" s="177" t="s">
        <v>117</v>
      </c>
      <c r="K139" s="186">
        <v>45756.0</v>
      </c>
      <c r="L139" s="187"/>
      <c r="M139" s="183" t="s">
        <v>232</v>
      </c>
      <c r="N139" s="183">
        <v>15.0</v>
      </c>
      <c r="O139" s="183" t="s">
        <v>233</v>
      </c>
      <c r="P139" s="213"/>
      <c r="Q139" s="213"/>
    </row>
    <row r="140">
      <c r="A140" s="212">
        <v>428.0</v>
      </c>
      <c r="B140" s="198" t="s">
        <v>11</v>
      </c>
      <c r="C140" s="199"/>
      <c r="D140" s="200"/>
      <c r="E140" s="199"/>
      <c r="F140" s="202" t="s">
        <v>137</v>
      </c>
      <c r="G140" s="219" t="s">
        <v>194</v>
      </c>
      <c r="H140" s="93" t="s">
        <v>194</v>
      </c>
      <c r="I140" s="93" t="s">
        <v>234</v>
      </c>
      <c r="J140" s="177" t="s">
        <v>117</v>
      </c>
      <c r="K140" s="186">
        <v>45777.0</v>
      </c>
      <c r="L140" s="187"/>
      <c r="M140" s="183" t="s">
        <v>235</v>
      </c>
      <c r="N140" s="183">
        <v>20.0</v>
      </c>
      <c r="O140" s="188"/>
      <c r="P140" s="188"/>
      <c r="Q140" s="188"/>
    </row>
    <row r="141">
      <c r="A141" s="212">
        <v>428.0</v>
      </c>
      <c r="B141" s="234" t="s">
        <v>11</v>
      </c>
      <c r="C141" s="235"/>
      <c r="D141" s="236"/>
      <c r="E141" s="235"/>
      <c r="F141" s="202" t="s">
        <v>137</v>
      </c>
      <c r="G141" s="237" t="s">
        <v>129</v>
      </c>
      <c r="H141" s="92" t="s">
        <v>138</v>
      </c>
      <c r="I141" s="238" t="s">
        <v>236</v>
      </c>
      <c r="J141" s="177" t="s">
        <v>117</v>
      </c>
      <c r="K141" s="186">
        <v>45777.0</v>
      </c>
      <c r="L141" s="187"/>
      <c r="M141" s="183" t="s">
        <v>327</v>
      </c>
      <c r="N141" s="183">
        <v>55.0</v>
      </c>
      <c r="O141" s="183" t="s">
        <v>238</v>
      </c>
      <c r="P141" s="213"/>
      <c r="Q141" s="213"/>
    </row>
    <row r="142">
      <c r="A142" s="214">
        <v>428.0</v>
      </c>
      <c r="B142" s="190" t="s">
        <v>11</v>
      </c>
      <c r="C142" s="203"/>
      <c r="D142" s="202"/>
      <c r="E142" s="204"/>
      <c r="F142" s="183" t="s">
        <v>124</v>
      </c>
      <c r="G142" s="202" t="s">
        <v>129</v>
      </c>
      <c r="H142" s="193" t="s">
        <v>130</v>
      </c>
      <c r="I142" s="193" t="s">
        <v>142</v>
      </c>
      <c r="J142" s="177" t="s">
        <v>117</v>
      </c>
      <c r="K142" s="195">
        <v>45818.0</v>
      </c>
      <c r="L142" s="196"/>
      <c r="M142" s="205" t="s">
        <v>143</v>
      </c>
      <c r="N142" s="177">
        <v>15.0</v>
      </c>
      <c r="O142" s="183"/>
      <c r="P142" s="188"/>
      <c r="Q142" s="188"/>
    </row>
    <row r="143">
      <c r="A143" s="214">
        <v>428.0</v>
      </c>
      <c r="B143" s="190" t="s">
        <v>11</v>
      </c>
      <c r="C143" s="203"/>
      <c r="D143" s="202"/>
      <c r="E143" s="204"/>
      <c r="F143" s="183" t="s">
        <v>124</v>
      </c>
      <c r="G143" s="183" t="s">
        <v>125</v>
      </c>
      <c r="H143" s="193" t="s">
        <v>130</v>
      </c>
      <c r="I143" s="193" t="s">
        <v>144</v>
      </c>
      <c r="J143" s="177" t="s">
        <v>117</v>
      </c>
      <c r="K143" s="195">
        <v>45818.0</v>
      </c>
      <c r="L143" s="196"/>
      <c r="M143" s="205" t="s">
        <v>145</v>
      </c>
      <c r="N143" s="177">
        <v>5.0</v>
      </c>
      <c r="O143" s="183"/>
      <c r="P143" s="188"/>
      <c r="Q143" s="188"/>
    </row>
    <row r="144">
      <c r="A144" s="214">
        <v>428.0</v>
      </c>
      <c r="B144" s="190" t="s">
        <v>11</v>
      </c>
      <c r="C144" s="203"/>
      <c r="D144" s="202"/>
      <c r="E144" s="204"/>
      <c r="F144" s="183" t="s">
        <v>124</v>
      </c>
      <c r="G144" s="183" t="s">
        <v>125</v>
      </c>
      <c r="H144" s="193" t="s">
        <v>146</v>
      </c>
      <c r="I144" s="193" t="s">
        <v>147</v>
      </c>
      <c r="J144" s="177" t="s">
        <v>117</v>
      </c>
      <c r="K144" s="195">
        <v>45818.0</v>
      </c>
      <c r="L144" s="177" t="s">
        <v>118</v>
      </c>
      <c r="M144" s="205" t="s">
        <v>148</v>
      </c>
      <c r="N144" s="177">
        <v>8.0</v>
      </c>
      <c r="O144" s="183" t="s">
        <v>149</v>
      </c>
      <c r="P144" s="188"/>
      <c r="Q144" s="188"/>
    </row>
    <row r="145">
      <c r="A145" s="214">
        <v>428.0</v>
      </c>
      <c r="B145" s="179" t="s">
        <v>11</v>
      </c>
      <c r="C145" s="191"/>
      <c r="D145" s="192"/>
      <c r="E145" s="191"/>
      <c r="F145" s="202" t="s">
        <v>116</v>
      </c>
      <c r="G145" s="228"/>
      <c r="H145" s="92" t="s">
        <v>157</v>
      </c>
      <c r="I145" s="92" t="s">
        <v>239</v>
      </c>
      <c r="J145" s="177" t="s">
        <v>117</v>
      </c>
      <c r="K145" s="195">
        <v>45820.0</v>
      </c>
      <c r="L145" s="177" t="s">
        <v>118</v>
      </c>
      <c r="M145" s="92" t="s">
        <v>240</v>
      </c>
      <c r="N145" s="177">
        <v>25.0</v>
      </c>
      <c r="O145" s="183" t="s">
        <v>165</v>
      </c>
      <c r="P145" s="188"/>
      <c r="Q145" s="188"/>
    </row>
    <row r="146">
      <c r="A146" s="217">
        <v>428.0</v>
      </c>
      <c r="B146" s="179" t="s">
        <v>11</v>
      </c>
      <c r="C146" s="207">
        <v>45702.0</v>
      </c>
      <c r="D146" s="181" t="s">
        <v>241</v>
      </c>
      <c r="E146" s="199" t="s">
        <v>242</v>
      </c>
      <c r="F146" s="202" t="s">
        <v>116</v>
      </c>
      <c r="G146" s="209"/>
      <c r="H146" s="210"/>
      <c r="I146" s="193"/>
      <c r="J146" s="196"/>
      <c r="K146" s="195"/>
      <c r="L146" s="196"/>
      <c r="M146" s="205"/>
      <c r="N146" s="211"/>
      <c r="O146" s="183"/>
      <c r="P146" s="188"/>
      <c r="Q146" s="188"/>
    </row>
    <row r="147">
      <c r="A147" s="206">
        <v>429.0</v>
      </c>
      <c r="B147" s="179" t="s">
        <v>11</v>
      </c>
      <c r="C147" s="208"/>
      <c r="D147" s="181" t="s">
        <v>122</v>
      </c>
      <c r="E147" s="182" t="s">
        <v>123</v>
      </c>
      <c r="F147" s="183" t="s">
        <v>124</v>
      </c>
      <c r="G147" s="183" t="s">
        <v>125</v>
      </c>
      <c r="H147" s="185" t="s">
        <v>126</v>
      </c>
      <c r="I147" s="185" t="s">
        <v>127</v>
      </c>
      <c r="J147" s="177" t="s">
        <v>117</v>
      </c>
      <c r="K147" s="186">
        <v>45736.0</v>
      </c>
      <c r="L147" s="187"/>
      <c r="M147" s="183" t="s">
        <v>243</v>
      </c>
      <c r="N147" s="183">
        <v>18.0</v>
      </c>
      <c r="O147" s="188"/>
      <c r="P147" s="188"/>
      <c r="Q147" s="188"/>
    </row>
    <row r="148">
      <c r="A148" s="214">
        <v>429.0</v>
      </c>
      <c r="B148" s="190" t="s">
        <v>11</v>
      </c>
      <c r="C148" s="191"/>
      <c r="D148" s="192"/>
      <c r="E148" s="191"/>
      <c r="F148" s="183" t="s">
        <v>124</v>
      </c>
      <c r="G148" s="190" t="s">
        <v>129</v>
      </c>
      <c r="H148" s="193" t="s">
        <v>130</v>
      </c>
      <c r="I148" s="194" t="s">
        <v>131</v>
      </c>
      <c r="J148" s="177" t="s">
        <v>117</v>
      </c>
      <c r="K148" s="195">
        <v>45789.0</v>
      </c>
      <c r="L148" s="211"/>
      <c r="M148" s="188"/>
      <c r="N148" s="177">
        <v>25.0</v>
      </c>
      <c r="O148" s="183" t="s">
        <v>165</v>
      </c>
      <c r="P148" s="188"/>
      <c r="Q148" s="188"/>
    </row>
    <row r="149">
      <c r="A149" s="212">
        <v>429.0</v>
      </c>
      <c r="B149" s="198" t="s">
        <v>11</v>
      </c>
      <c r="C149" s="199"/>
      <c r="D149" s="200"/>
      <c r="E149" s="199"/>
      <c r="F149" s="202" t="s">
        <v>137</v>
      </c>
      <c r="G149" s="239" t="s">
        <v>129</v>
      </c>
      <c r="H149" s="93" t="s">
        <v>160</v>
      </c>
      <c r="I149" s="216" t="s">
        <v>167</v>
      </c>
      <c r="J149" s="177" t="s">
        <v>117</v>
      </c>
      <c r="K149" s="186">
        <v>45790.0</v>
      </c>
      <c r="L149" s="183" t="s">
        <v>118</v>
      </c>
      <c r="M149" s="183" t="s">
        <v>244</v>
      </c>
      <c r="N149" s="183">
        <v>25.0</v>
      </c>
      <c r="O149" s="183" t="s">
        <v>169</v>
      </c>
      <c r="P149" s="188"/>
      <c r="Q149" s="188"/>
    </row>
    <row r="150">
      <c r="A150" s="212">
        <v>429.0</v>
      </c>
      <c r="B150" s="240" t="s">
        <v>11</v>
      </c>
      <c r="C150" s="241"/>
      <c r="D150" s="241"/>
      <c r="E150" s="241"/>
      <c r="F150" s="202" t="s">
        <v>137</v>
      </c>
      <c r="G150" s="239" t="s">
        <v>129</v>
      </c>
      <c r="H150" s="93" t="s">
        <v>160</v>
      </c>
      <c r="I150" s="242" t="s">
        <v>170</v>
      </c>
      <c r="J150" s="243" t="s">
        <v>117</v>
      </c>
      <c r="K150" s="244">
        <v>45790.0</v>
      </c>
      <c r="L150" s="187"/>
      <c r="M150" s="183" t="s">
        <v>171</v>
      </c>
      <c r="N150" s="183">
        <v>15.0</v>
      </c>
      <c r="O150" s="183" t="s">
        <v>172</v>
      </c>
      <c r="P150" s="188"/>
      <c r="Q150" s="188"/>
    </row>
    <row r="151">
      <c r="A151" s="212">
        <v>429.0</v>
      </c>
      <c r="B151" s="198" t="s">
        <v>11</v>
      </c>
      <c r="C151" s="199"/>
      <c r="D151" s="200"/>
      <c r="E151" s="199"/>
      <c r="F151" s="183" t="s">
        <v>124</v>
      </c>
      <c r="G151" s="194" t="s">
        <v>133</v>
      </c>
      <c r="H151" s="93" t="s">
        <v>134</v>
      </c>
      <c r="I151" s="93" t="s">
        <v>135</v>
      </c>
      <c r="J151" s="177" t="s">
        <v>117</v>
      </c>
      <c r="K151" s="186">
        <v>45796.0</v>
      </c>
      <c r="L151" s="187"/>
      <c r="M151" s="183"/>
      <c r="N151" s="183">
        <v>75.0</v>
      </c>
      <c r="O151" s="183" t="s">
        <v>136</v>
      </c>
      <c r="P151" s="188"/>
      <c r="Q151" s="188"/>
    </row>
    <row r="152">
      <c r="A152" s="203">
        <v>429.0</v>
      </c>
      <c r="B152" s="202" t="s">
        <v>11</v>
      </c>
      <c r="C152" s="203"/>
      <c r="D152" s="202"/>
      <c r="E152" s="204"/>
      <c r="F152" s="202" t="s">
        <v>137</v>
      </c>
      <c r="G152" s="202" t="s">
        <v>129</v>
      </c>
      <c r="H152" s="193" t="s">
        <v>138</v>
      </c>
      <c r="I152" s="193" t="s">
        <v>139</v>
      </c>
      <c r="J152" s="177" t="s">
        <v>117</v>
      </c>
      <c r="K152" s="195">
        <v>45796.0</v>
      </c>
      <c r="L152" s="177" t="s">
        <v>118</v>
      </c>
      <c r="M152" s="205" t="s">
        <v>140</v>
      </c>
      <c r="N152" s="177">
        <v>6.0</v>
      </c>
      <c r="O152" s="183" t="s">
        <v>141</v>
      </c>
      <c r="P152" s="188"/>
      <c r="Q152" s="188"/>
    </row>
    <row r="153">
      <c r="A153" s="212">
        <v>429.0</v>
      </c>
      <c r="B153" s="198" t="s">
        <v>11</v>
      </c>
      <c r="C153" s="199"/>
      <c r="D153" s="200"/>
      <c r="E153" s="199"/>
      <c r="F153" s="202" t="s">
        <v>137</v>
      </c>
      <c r="G153" s="219" t="s">
        <v>129</v>
      </c>
      <c r="H153" s="93" t="s">
        <v>160</v>
      </c>
      <c r="I153" s="93" t="s">
        <v>173</v>
      </c>
      <c r="J153" s="177" t="s">
        <v>117</v>
      </c>
      <c r="K153" s="186">
        <v>45782.0</v>
      </c>
      <c r="L153" s="245"/>
      <c r="M153" s="194" t="s">
        <v>245</v>
      </c>
      <c r="N153" s="183">
        <v>25.0</v>
      </c>
      <c r="O153" s="188"/>
      <c r="P153" s="188"/>
      <c r="Q153" s="188"/>
    </row>
    <row r="154">
      <c r="A154" s="214">
        <v>429.0</v>
      </c>
      <c r="B154" s="190" t="s">
        <v>11</v>
      </c>
      <c r="C154" s="203"/>
      <c r="D154" s="202"/>
      <c r="E154" s="204"/>
      <c r="F154" s="183" t="s">
        <v>124</v>
      </c>
      <c r="G154" s="202" t="s">
        <v>129</v>
      </c>
      <c r="H154" s="193" t="s">
        <v>130</v>
      </c>
      <c r="I154" s="193" t="s">
        <v>142</v>
      </c>
      <c r="J154" s="177" t="s">
        <v>117</v>
      </c>
      <c r="K154" s="195">
        <v>45818.0</v>
      </c>
      <c r="L154" s="196"/>
      <c r="M154" s="205" t="s">
        <v>143</v>
      </c>
      <c r="N154" s="177">
        <v>15.0</v>
      </c>
      <c r="O154" s="183"/>
      <c r="P154" s="188"/>
      <c r="Q154" s="188"/>
    </row>
    <row r="155">
      <c r="A155" s="214">
        <v>429.0</v>
      </c>
      <c r="B155" s="190" t="s">
        <v>11</v>
      </c>
      <c r="C155" s="203"/>
      <c r="D155" s="202"/>
      <c r="E155" s="204"/>
      <c r="F155" s="183" t="s">
        <v>124</v>
      </c>
      <c r="G155" s="183" t="s">
        <v>125</v>
      </c>
      <c r="H155" s="193" t="s">
        <v>130</v>
      </c>
      <c r="I155" s="193" t="s">
        <v>144</v>
      </c>
      <c r="J155" s="177" t="s">
        <v>117</v>
      </c>
      <c r="K155" s="195">
        <v>45818.0</v>
      </c>
      <c r="L155" s="196"/>
      <c r="M155" s="205" t="s">
        <v>145</v>
      </c>
      <c r="N155" s="177">
        <v>5.0</v>
      </c>
      <c r="O155" s="183"/>
      <c r="P155" s="188"/>
      <c r="Q155" s="188"/>
    </row>
    <row r="156">
      <c r="A156" s="214">
        <v>429.0</v>
      </c>
      <c r="B156" s="190" t="s">
        <v>11</v>
      </c>
      <c r="C156" s="203"/>
      <c r="D156" s="202"/>
      <c r="E156" s="204"/>
      <c r="F156" s="183" t="s">
        <v>124</v>
      </c>
      <c r="G156" s="183" t="s">
        <v>125</v>
      </c>
      <c r="H156" s="193" t="s">
        <v>146</v>
      </c>
      <c r="I156" s="193" t="s">
        <v>147</v>
      </c>
      <c r="J156" s="177" t="s">
        <v>117</v>
      </c>
      <c r="K156" s="195">
        <v>45818.0</v>
      </c>
      <c r="L156" s="177" t="s">
        <v>118</v>
      </c>
      <c r="M156" s="205" t="s">
        <v>148</v>
      </c>
      <c r="N156" s="177">
        <v>8.0</v>
      </c>
      <c r="O156" s="183" t="s">
        <v>149</v>
      </c>
      <c r="P156" s="188"/>
      <c r="Q156" s="188"/>
    </row>
    <row r="157">
      <c r="A157" s="206">
        <v>429.0</v>
      </c>
      <c r="B157" s="179" t="s">
        <v>11</v>
      </c>
      <c r="C157" s="207">
        <v>45702.0</v>
      </c>
      <c r="D157" s="181" t="s">
        <v>246</v>
      </c>
      <c r="E157" s="199" t="s">
        <v>242</v>
      </c>
      <c r="F157" s="202" t="s">
        <v>116</v>
      </c>
      <c r="G157" s="209"/>
      <c r="H157" s="210"/>
      <c r="I157" s="193"/>
      <c r="J157" s="196"/>
      <c r="K157" s="195"/>
      <c r="L157" s="196"/>
      <c r="M157" s="205"/>
      <c r="N157" s="211"/>
      <c r="O157" s="183"/>
      <c r="P157" s="188"/>
      <c r="Q157" s="188"/>
    </row>
    <row r="158">
      <c r="A158" s="206">
        <v>430.0</v>
      </c>
      <c r="B158" s="179" t="s">
        <v>11</v>
      </c>
      <c r="C158" s="208"/>
      <c r="D158" s="181" t="s">
        <v>122</v>
      </c>
      <c r="E158" s="182" t="s">
        <v>123</v>
      </c>
      <c r="F158" s="183" t="s">
        <v>124</v>
      </c>
      <c r="G158" s="183" t="s">
        <v>125</v>
      </c>
      <c r="H158" s="185" t="s">
        <v>126</v>
      </c>
      <c r="I158" s="185" t="s">
        <v>127</v>
      </c>
      <c r="J158" s="177" t="s">
        <v>117</v>
      </c>
      <c r="K158" s="186">
        <v>45736.0</v>
      </c>
      <c r="L158" s="187"/>
      <c r="M158" s="183" t="s">
        <v>247</v>
      </c>
      <c r="N158" s="183">
        <v>10.0</v>
      </c>
      <c r="O158" s="188"/>
      <c r="P158" s="188"/>
      <c r="Q158" s="188"/>
    </row>
    <row r="159">
      <c r="A159" s="217">
        <v>430.0</v>
      </c>
      <c r="B159" s="198" t="s">
        <v>11</v>
      </c>
      <c r="C159" s="199"/>
      <c r="D159" s="200"/>
      <c r="E159" s="198"/>
      <c r="F159" s="202" t="s">
        <v>137</v>
      </c>
      <c r="G159" s="219" t="s">
        <v>129</v>
      </c>
      <c r="H159" s="92" t="s">
        <v>138</v>
      </c>
      <c r="I159" s="92" t="s">
        <v>248</v>
      </c>
      <c r="J159" s="177" t="s">
        <v>117</v>
      </c>
      <c r="K159" s="186">
        <v>45755.0</v>
      </c>
      <c r="L159" s="245"/>
      <c r="M159" s="194" t="s">
        <v>328</v>
      </c>
      <c r="N159" s="183">
        <v>50.0</v>
      </c>
      <c r="O159" s="183" t="s">
        <v>186</v>
      </c>
      <c r="P159" s="213"/>
      <c r="Q159" s="213"/>
    </row>
    <row r="160">
      <c r="A160" s="214">
        <v>430.0</v>
      </c>
      <c r="B160" s="190" t="s">
        <v>11</v>
      </c>
      <c r="C160" s="203"/>
      <c r="D160" s="202"/>
      <c r="E160" s="204"/>
      <c r="F160" s="183" t="s">
        <v>124</v>
      </c>
      <c r="G160" s="202" t="s">
        <v>129</v>
      </c>
      <c r="H160" s="193" t="s">
        <v>130</v>
      </c>
      <c r="I160" s="193" t="s">
        <v>142</v>
      </c>
      <c r="J160" s="177" t="s">
        <v>117</v>
      </c>
      <c r="K160" s="195">
        <v>45818.0</v>
      </c>
      <c r="L160" s="196"/>
      <c r="M160" s="205" t="s">
        <v>143</v>
      </c>
      <c r="N160" s="177">
        <v>15.0</v>
      </c>
      <c r="O160" s="183"/>
      <c r="P160" s="188"/>
      <c r="Q160" s="188"/>
    </row>
    <row r="161">
      <c r="A161" s="214">
        <v>430.0</v>
      </c>
      <c r="B161" s="190" t="s">
        <v>11</v>
      </c>
      <c r="C161" s="203"/>
      <c r="D161" s="202"/>
      <c r="E161" s="204"/>
      <c r="F161" s="183" t="s">
        <v>124</v>
      </c>
      <c r="G161" s="183" t="s">
        <v>125</v>
      </c>
      <c r="H161" s="193" t="s">
        <v>130</v>
      </c>
      <c r="I161" s="193" t="s">
        <v>144</v>
      </c>
      <c r="J161" s="177" t="s">
        <v>117</v>
      </c>
      <c r="K161" s="195">
        <v>45818.0</v>
      </c>
      <c r="L161" s="196"/>
      <c r="M161" s="205" t="s">
        <v>145</v>
      </c>
      <c r="N161" s="177">
        <v>5.0</v>
      </c>
      <c r="O161" s="183"/>
      <c r="P161" s="188"/>
      <c r="Q161" s="188"/>
    </row>
    <row r="162">
      <c r="A162" s="214">
        <v>430.0</v>
      </c>
      <c r="B162" s="190" t="s">
        <v>11</v>
      </c>
      <c r="C162" s="203"/>
      <c r="D162" s="202"/>
      <c r="E162" s="204"/>
      <c r="F162" s="183" t="s">
        <v>124</v>
      </c>
      <c r="G162" s="183" t="s">
        <v>125</v>
      </c>
      <c r="H162" s="193" t="s">
        <v>146</v>
      </c>
      <c r="I162" s="193" t="s">
        <v>147</v>
      </c>
      <c r="J162" s="177" t="s">
        <v>117</v>
      </c>
      <c r="K162" s="195">
        <v>45818.0</v>
      </c>
      <c r="L162" s="177" t="s">
        <v>118</v>
      </c>
      <c r="M162" s="205" t="s">
        <v>148</v>
      </c>
      <c r="N162" s="177">
        <v>8.0</v>
      </c>
      <c r="O162" s="183" t="s">
        <v>149</v>
      </c>
      <c r="P162" s="188"/>
      <c r="Q162" s="188"/>
    </row>
    <row r="163">
      <c r="A163" s="212">
        <v>430.0</v>
      </c>
      <c r="B163" s="179" t="s">
        <v>11</v>
      </c>
      <c r="C163" s="199"/>
      <c r="D163" s="200"/>
      <c r="E163" s="198"/>
      <c r="F163" s="202" t="s">
        <v>116</v>
      </c>
      <c r="G163" s="228"/>
      <c r="H163" s="92" t="s">
        <v>157</v>
      </c>
      <c r="I163" s="92" t="s">
        <v>239</v>
      </c>
      <c r="J163" s="177" t="s">
        <v>117</v>
      </c>
      <c r="K163" s="186">
        <v>45820.0</v>
      </c>
      <c r="L163" s="194" t="s">
        <v>118</v>
      </c>
      <c r="M163" s="92" t="s">
        <v>250</v>
      </c>
      <c r="N163" s="183">
        <v>25.0</v>
      </c>
      <c r="O163" s="183"/>
      <c r="P163" s="213"/>
      <c r="Q163" s="213"/>
    </row>
    <row r="164">
      <c r="A164" s="206">
        <v>430.0</v>
      </c>
      <c r="B164" s="179" t="s">
        <v>11</v>
      </c>
      <c r="C164" s="207">
        <v>45702.0</v>
      </c>
      <c r="D164" s="181" t="s">
        <v>251</v>
      </c>
      <c r="E164" s="199" t="s">
        <v>242</v>
      </c>
      <c r="F164" s="202" t="s">
        <v>116</v>
      </c>
      <c r="G164" s="209"/>
      <c r="H164" s="210"/>
      <c r="I164" s="193"/>
      <c r="J164" s="196"/>
      <c r="K164" s="195"/>
      <c r="L164" s="196"/>
      <c r="M164" s="205"/>
      <c r="N164" s="211"/>
      <c r="O164" s="183"/>
      <c r="P164" s="188"/>
      <c r="Q164" s="188"/>
    </row>
    <row r="165">
      <c r="A165" s="206">
        <v>431.0</v>
      </c>
      <c r="B165" s="179" t="s">
        <v>11</v>
      </c>
      <c r="C165" s="208"/>
      <c r="D165" s="181" t="s">
        <v>122</v>
      </c>
      <c r="E165" s="182" t="s">
        <v>123</v>
      </c>
      <c r="F165" s="183" t="s">
        <v>124</v>
      </c>
      <c r="G165" s="183" t="s">
        <v>125</v>
      </c>
      <c r="H165" s="185" t="s">
        <v>126</v>
      </c>
      <c r="I165" s="185" t="s">
        <v>127</v>
      </c>
      <c r="J165" s="177" t="s">
        <v>117</v>
      </c>
      <c r="K165" s="186">
        <v>45736.0</v>
      </c>
      <c r="L165" s="187"/>
      <c r="M165" s="183" t="s">
        <v>252</v>
      </c>
      <c r="N165" s="183">
        <v>11.0</v>
      </c>
      <c r="O165" s="188"/>
      <c r="P165" s="188"/>
      <c r="Q165" s="188"/>
    </row>
    <row r="166">
      <c r="A166" s="217">
        <v>431.0</v>
      </c>
      <c r="B166" s="198" t="s">
        <v>11</v>
      </c>
      <c r="C166" s="199"/>
      <c r="D166" s="200"/>
      <c r="E166" s="198"/>
      <c r="F166" s="202" t="s">
        <v>137</v>
      </c>
      <c r="G166" s="219" t="s">
        <v>129</v>
      </c>
      <c r="H166" s="193" t="s">
        <v>134</v>
      </c>
      <c r="I166" s="93" t="s">
        <v>253</v>
      </c>
      <c r="J166" s="177" t="s">
        <v>117</v>
      </c>
      <c r="K166" s="186">
        <v>45778.0</v>
      </c>
      <c r="L166" s="245"/>
      <c r="M166" s="194" t="s">
        <v>254</v>
      </c>
      <c r="N166" s="183">
        <v>18.0</v>
      </c>
      <c r="O166" s="246"/>
      <c r="P166" s="246"/>
      <c r="Q166" s="246"/>
    </row>
    <row r="167">
      <c r="A167" s="214">
        <v>431.0</v>
      </c>
      <c r="B167" s="190" t="s">
        <v>11</v>
      </c>
      <c r="C167" s="191"/>
      <c r="D167" s="192"/>
      <c r="E167" s="191"/>
      <c r="F167" s="183" t="s">
        <v>124</v>
      </c>
      <c r="G167" s="190" t="s">
        <v>129</v>
      </c>
      <c r="H167" s="193" t="s">
        <v>130</v>
      </c>
      <c r="I167" s="194" t="s">
        <v>131</v>
      </c>
      <c r="J167" s="177" t="s">
        <v>117</v>
      </c>
      <c r="K167" s="195">
        <v>45789.0</v>
      </c>
      <c r="L167" s="211"/>
      <c r="M167" s="188"/>
      <c r="N167" s="177">
        <v>25.0</v>
      </c>
      <c r="O167" s="183" t="s">
        <v>165</v>
      </c>
      <c r="P167" s="188"/>
      <c r="Q167" s="188"/>
    </row>
    <row r="168">
      <c r="A168" s="212">
        <v>431.0</v>
      </c>
      <c r="B168" s="198" t="s">
        <v>11</v>
      </c>
      <c r="C168" s="199"/>
      <c r="D168" s="200"/>
      <c r="E168" s="199"/>
      <c r="F168" s="183" t="s">
        <v>124</v>
      </c>
      <c r="G168" s="194" t="s">
        <v>133</v>
      </c>
      <c r="H168" s="93" t="s">
        <v>134</v>
      </c>
      <c r="I168" s="93" t="s">
        <v>135</v>
      </c>
      <c r="J168" s="177" t="s">
        <v>117</v>
      </c>
      <c r="K168" s="186">
        <v>45790.0</v>
      </c>
      <c r="L168" s="187"/>
      <c r="M168" s="183"/>
      <c r="N168" s="183">
        <v>75.0</v>
      </c>
      <c r="O168" s="183" t="s">
        <v>136</v>
      </c>
      <c r="P168" s="188"/>
      <c r="Q168" s="188"/>
    </row>
    <row r="169">
      <c r="A169" s="212">
        <v>431.0</v>
      </c>
      <c r="B169" s="198" t="s">
        <v>11</v>
      </c>
      <c r="C169" s="199"/>
      <c r="D169" s="200"/>
      <c r="E169" s="199"/>
      <c r="F169" s="202" t="s">
        <v>137</v>
      </c>
      <c r="G169" s="194" t="s">
        <v>129</v>
      </c>
      <c r="H169" s="93" t="s">
        <v>160</v>
      </c>
      <c r="I169" s="216" t="s">
        <v>255</v>
      </c>
      <c r="J169" s="177" t="s">
        <v>117</v>
      </c>
      <c r="K169" s="186">
        <v>45790.0</v>
      </c>
      <c r="L169" s="183" t="s">
        <v>118</v>
      </c>
      <c r="M169" s="183" t="s">
        <v>244</v>
      </c>
      <c r="N169" s="183">
        <v>25.0</v>
      </c>
      <c r="O169" s="183" t="s">
        <v>169</v>
      </c>
      <c r="P169" s="188"/>
      <c r="Q169" s="188"/>
    </row>
    <row r="170">
      <c r="A170" s="212">
        <v>431.0</v>
      </c>
      <c r="B170" s="240" t="s">
        <v>11</v>
      </c>
      <c r="C170" s="241"/>
      <c r="D170" s="241"/>
      <c r="E170" s="241"/>
      <c r="F170" s="202" t="s">
        <v>137</v>
      </c>
      <c r="G170" s="239" t="s">
        <v>129</v>
      </c>
      <c r="H170" s="93" t="s">
        <v>160</v>
      </c>
      <c r="I170" s="247" t="s">
        <v>170</v>
      </c>
      <c r="J170" s="243" t="s">
        <v>117</v>
      </c>
      <c r="K170" s="244">
        <v>45790.0</v>
      </c>
      <c r="L170" s="187"/>
      <c r="M170" s="183" t="s">
        <v>171</v>
      </c>
      <c r="N170" s="183">
        <v>15.0</v>
      </c>
      <c r="O170" s="183" t="s">
        <v>172</v>
      </c>
      <c r="P170" s="188"/>
      <c r="Q170" s="188"/>
    </row>
    <row r="171">
      <c r="A171" s="203">
        <v>431.0</v>
      </c>
      <c r="B171" s="202" t="s">
        <v>11</v>
      </c>
      <c r="C171" s="203"/>
      <c r="D171" s="202"/>
      <c r="E171" s="204"/>
      <c r="F171" s="202" t="s">
        <v>137</v>
      </c>
      <c r="G171" s="202" t="s">
        <v>129</v>
      </c>
      <c r="H171" s="193" t="s">
        <v>138</v>
      </c>
      <c r="I171" s="193" t="s">
        <v>139</v>
      </c>
      <c r="J171" s="177" t="s">
        <v>117</v>
      </c>
      <c r="K171" s="195">
        <v>45796.0</v>
      </c>
      <c r="L171" s="177" t="s">
        <v>118</v>
      </c>
      <c r="M171" s="205" t="s">
        <v>140</v>
      </c>
      <c r="N171" s="177">
        <v>6.0</v>
      </c>
      <c r="O171" s="183" t="s">
        <v>141</v>
      </c>
      <c r="P171" s="188"/>
      <c r="Q171" s="188"/>
    </row>
    <row r="172">
      <c r="A172" s="203">
        <v>431.0</v>
      </c>
      <c r="B172" s="202" t="s">
        <v>11</v>
      </c>
      <c r="C172" s="203"/>
      <c r="D172" s="202"/>
      <c r="E172" s="204"/>
      <c r="F172" s="202" t="s">
        <v>137</v>
      </c>
      <c r="G172" s="183" t="s">
        <v>125</v>
      </c>
      <c r="H172" s="193" t="s">
        <v>146</v>
      </c>
      <c r="I172" s="220" t="s">
        <v>91</v>
      </c>
      <c r="J172" s="177" t="s">
        <v>162</v>
      </c>
      <c r="K172" s="195"/>
      <c r="L172" s="196"/>
      <c r="M172" s="205"/>
      <c r="N172" s="177"/>
      <c r="O172" s="183"/>
      <c r="P172" s="188"/>
      <c r="Q172" s="188"/>
    </row>
    <row r="173">
      <c r="A173" s="214">
        <v>431.0</v>
      </c>
      <c r="B173" s="190" t="s">
        <v>11</v>
      </c>
      <c r="C173" s="203"/>
      <c r="D173" s="202"/>
      <c r="E173" s="204"/>
      <c r="F173" s="183" t="s">
        <v>124</v>
      </c>
      <c r="G173" s="202" t="s">
        <v>129</v>
      </c>
      <c r="H173" s="193" t="s">
        <v>130</v>
      </c>
      <c r="I173" s="193" t="s">
        <v>142</v>
      </c>
      <c r="J173" s="177" t="s">
        <v>117</v>
      </c>
      <c r="K173" s="195">
        <v>45818.0</v>
      </c>
      <c r="L173" s="196"/>
      <c r="M173" s="205" t="s">
        <v>143</v>
      </c>
      <c r="N173" s="177">
        <v>15.0</v>
      </c>
      <c r="O173" s="183"/>
      <c r="P173" s="188"/>
      <c r="Q173" s="188"/>
    </row>
    <row r="174">
      <c r="A174" s="214">
        <v>431.0</v>
      </c>
      <c r="B174" s="190" t="s">
        <v>11</v>
      </c>
      <c r="C174" s="203"/>
      <c r="D174" s="202"/>
      <c r="E174" s="204"/>
      <c r="F174" s="183" t="s">
        <v>124</v>
      </c>
      <c r="G174" s="183" t="s">
        <v>125</v>
      </c>
      <c r="H174" s="193" t="s">
        <v>130</v>
      </c>
      <c r="I174" s="193" t="s">
        <v>144</v>
      </c>
      <c r="J174" s="177" t="s">
        <v>117</v>
      </c>
      <c r="K174" s="195">
        <v>45818.0</v>
      </c>
      <c r="L174" s="196"/>
      <c r="M174" s="205" t="s">
        <v>145</v>
      </c>
      <c r="N174" s="177">
        <v>5.0</v>
      </c>
      <c r="O174" s="183"/>
      <c r="P174" s="188"/>
      <c r="Q174" s="188"/>
    </row>
    <row r="175">
      <c r="A175" s="214">
        <v>431.0</v>
      </c>
      <c r="B175" s="190" t="s">
        <v>11</v>
      </c>
      <c r="C175" s="203"/>
      <c r="D175" s="202"/>
      <c r="E175" s="204"/>
      <c r="F175" s="183" t="s">
        <v>124</v>
      </c>
      <c r="G175" s="183" t="s">
        <v>125</v>
      </c>
      <c r="H175" s="193" t="s">
        <v>146</v>
      </c>
      <c r="I175" s="193" t="s">
        <v>147</v>
      </c>
      <c r="J175" s="177" t="s">
        <v>117</v>
      </c>
      <c r="K175" s="195">
        <v>45818.0</v>
      </c>
      <c r="L175" s="177" t="s">
        <v>118</v>
      </c>
      <c r="M175" s="205" t="s">
        <v>148</v>
      </c>
      <c r="N175" s="177">
        <v>8.0</v>
      </c>
      <c r="O175" s="183" t="s">
        <v>149</v>
      </c>
      <c r="P175" s="188"/>
      <c r="Q175" s="188"/>
    </row>
    <row r="176">
      <c r="A176" s="206">
        <v>431.0</v>
      </c>
      <c r="B176" s="179" t="s">
        <v>11</v>
      </c>
      <c r="C176" s="207">
        <v>45702.0</v>
      </c>
      <c r="D176" s="181" t="s">
        <v>256</v>
      </c>
      <c r="E176" s="199" t="s">
        <v>242</v>
      </c>
      <c r="F176" s="202" t="s">
        <v>116</v>
      </c>
      <c r="G176" s="209"/>
      <c r="H176" s="210"/>
      <c r="I176" s="193"/>
      <c r="J176" s="196"/>
      <c r="K176" s="195"/>
      <c r="L176" s="196"/>
      <c r="M176" s="205"/>
      <c r="N176" s="211"/>
      <c r="O176" s="183"/>
      <c r="P176" s="188"/>
      <c r="Q176" s="188"/>
    </row>
    <row r="177">
      <c r="A177" s="203">
        <v>432.0</v>
      </c>
      <c r="B177" s="202" t="s">
        <v>11</v>
      </c>
      <c r="C177" s="203"/>
      <c r="D177" s="202"/>
      <c r="E177" s="204"/>
      <c r="F177" s="202" t="s">
        <v>137</v>
      </c>
      <c r="G177" s="202" t="s">
        <v>129</v>
      </c>
      <c r="H177" s="193" t="s">
        <v>138</v>
      </c>
      <c r="I177" s="193" t="s">
        <v>139</v>
      </c>
      <c r="J177" s="177" t="s">
        <v>117</v>
      </c>
      <c r="K177" s="195" t="s">
        <v>257</v>
      </c>
      <c r="L177" s="177" t="s">
        <v>118</v>
      </c>
      <c r="M177" s="205" t="s">
        <v>140</v>
      </c>
      <c r="N177" s="177">
        <v>6.0</v>
      </c>
      <c r="O177" s="183" t="s">
        <v>141</v>
      </c>
      <c r="P177" s="188"/>
      <c r="Q177" s="188"/>
    </row>
    <row r="178">
      <c r="A178" s="206">
        <v>432.0</v>
      </c>
      <c r="B178" s="179" t="s">
        <v>11</v>
      </c>
      <c r="C178" s="208"/>
      <c r="D178" s="181" t="s">
        <v>122</v>
      </c>
      <c r="E178" s="182" t="s">
        <v>123</v>
      </c>
      <c r="F178" s="183" t="s">
        <v>124</v>
      </c>
      <c r="G178" s="183" t="s">
        <v>125</v>
      </c>
      <c r="H178" s="185" t="s">
        <v>126</v>
      </c>
      <c r="I178" s="185" t="s">
        <v>127</v>
      </c>
      <c r="J178" s="177" t="s">
        <v>117</v>
      </c>
      <c r="K178" s="186">
        <v>45736.0</v>
      </c>
      <c r="L178" s="187"/>
      <c r="M178" s="183" t="s">
        <v>247</v>
      </c>
      <c r="N178" s="183">
        <v>10.0</v>
      </c>
      <c r="O178" s="188"/>
      <c r="P178" s="188"/>
      <c r="Q178" s="188"/>
    </row>
    <row r="179">
      <c r="A179" s="248">
        <v>432.0</v>
      </c>
      <c r="B179" s="249" t="s">
        <v>11</v>
      </c>
      <c r="C179" s="250"/>
      <c r="D179" s="251"/>
      <c r="E179" s="252"/>
      <c r="F179" s="202" t="s">
        <v>137</v>
      </c>
      <c r="G179" s="253" t="s">
        <v>129</v>
      </c>
      <c r="H179" s="150" t="s">
        <v>181</v>
      </c>
      <c r="I179" s="150" t="s">
        <v>203</v>
      </c>
      <c r="J179" s="177" t="s">
        <v>117</v>
      </c>
      <c r="K179" s="186">
        <v>45756.0</v>
      </c>
      <c r="L179" s="187"/>
      <c r="M179" s="183" t="s">
        <v>258</v>
      </c>
      <c r="N179" s="183">
        <v>3.0</v>
      </c>
      <c r="O179" s="183" t="s">
        <v>159</v>
      </c>
      <c r="P179" s="213"/>
      <c r="Q179" s="213"/>
    </row>
    <row r="180">
      <c r="A180" s="214">
        <v>432.0</v>
      </c>
      <c r="B180" s="190" t="s">
        <v>11</v>
      </c>
      <c r="C180" s="191"/>
      <c r="D180" s="192"/>
      <c r="E180" s="191"/>
      <c r="F180" s="183" t="s">
        <v>124</v>
      </c>
      <c r="G180" s="190" t="s">
        <v>129</v>
      </c>
      <c r="H180" s="193" t="s">
        <v>130</v>
      </c>
      <c r="I180" s="194" t="s">
        <v>131</v>
      </c>
      <c r="J180" s="177" t="s">
        <v>117</v>
      </c>
      <c r="K180" s="195">
        <v>45789.0</v>
      </c>
      <c r="L180" s="211"/>
      <c r="M180" s="188"/>
      <c r="N180" s="177">
        <v>25.0</v>
      </c>
      <c r="O180" s="183" t="s">
        <v>165</v>
      </c>
      <c r="P180" s="188"/>
      <c r="Q180" s="188"/>
    </row>
    <row r="181">
      <c r="A181" s="212">
        <v>432.0</v>
      </c>
      <c r="B181" s="198" t="s">
        <v>11</v>
      </c>
      <c r="C181" s="199"/>
      <c r="D181" s="200"/>
      <c r="E181" s="199"/>
      <c r="F181" s="183" t="s">
        <v>124</v>
      </c>
      <c r="G181" s="194" t="s">
        <v>133</v>
      </c>
      <c r="H181" s="93" t="s">
        <v>134</v>
      </c>
      <c r="I181" s="93" t="s">
        <v>135</v>
      </c>
      <c r="J181" s="177" t="s">
        <v>117</v>
      </c>
      <c r="K181" s="186">
        <v>45790.0</v>
      </c>
      <c r="L181" s="187"/>
      <c r="M181" s="183"/>
      <c r="N181" s="183">
        <v>75.0</v>
      </c>
      <c r="O181" s="183" t="s">
        <v>136</v>
      </c>
      <c r="P181" s="188"/>
      <c r="Q181" s="188"/>
    </row>
    <row r="182">
      <c r="A182" s="212">
        <v>432.0</v>
      </c>
      <c r="B182" s="198" t="s">
        <v>11</v>
      </c>
      <c r="C182" s="199"/>
      <c r="D182" s="200"/>
      <c r="E182" s="199"/>
      <c r="F182" s="202" t="s">
        <v>137</v>
      </c>
      <c r="G182" s="194" t="s">
        <v>129</v>
      </c>
      <c r="H182" s="93" t="s">
        <v>160</v>
      </c>
      <c r="I182" s="216" t="s">
        <v>255</v>
      </c>
      <c r="J182" s="177" t="s">
        <v>117</v>
      </c>
      <c r="K182" s="186">
        <v>45790.0</v>
      </c>
      <c r="L182" s="187"/>
      <c r="M182" s="183" t="s">
        <v>244</v>
      </c>
      <c r="N182" s="183">
        <v>25.0</v>
      </c>
      <c r="O182" s="183" t="s">
        <v>169</v>
      </c>
      <c r="P182" s="188"/>
      <c r="Q182" s="188"/>
    </row>
    <row r="183">
      <c r="A183" s="212">
        <v>432.0</v>
      </c>
      <c r="B183" s="240" t="s">
        <v>11</v>
      </c>
      <c r="C183" s="241"/>
      <c r="D183" s="241"/>
      <c r="E183" s="241"/>
      <c r="F183" s="202" t="s">
        <v>137</v>
      </c>
      <c r="G183" s="239" t="s">
        <v>129</v>
      </c>
      <c r="H183" s="93" t="s">
        <v>160</v>
      </c>
      <c r="I183" s="247" t="s">
        <v>170</v>
      </c>
      <c r="J183" s="243" t="s">
        <v>117</v>
      </c>
      <c r="K183" s="244">
        <v>45790.0</v>
      </c>
      <c r="L183" s="183" t="s">
        <v>118</v>
      </c>
      <c r="M183" s="183" t="s">
        <v>171</v>
      </c>
      <c r="N183" s="183">
        <v>15.0</v>
      </c>
      <c r="O183" s="183" t="s">
        <v>172</v>
      </c>
      <c r="P183" s="188"/>
      <c r="Q183" s="188"/>
    </row>
    <row r="184">
      <c r="A184" s="212">
        <v>432.0</v>
      </c>
      <c r="B184" s="240" t="s">
        <v>11</v>
      </c>
      <c r="C184" s="241"/>
      <c r="D184" s="241"/>
      <c r="E184" s="241"/>
      <c r="F184" s="202" t="s">
        <v>137</v>
      </c>
      <c r="G184" s="183" t="s">
        <v>125</v>
      </c>
      <c r="H184" s="93" t="s">
        <v>152</v>
      </c>
      <c r="I184" s="220" t="s">
        <v>259</v>
      </c>
      <c r="J184" s="254" t="s">
        <v>162</v>
      </c>
      <c r="K184" s="244"/>
      <c r="L184" s="187"/>
      <c r="M184" s="183"/>
      <c r="N184" s="183"/>
      <c r="O184" s="183"/>
      <c r="P184" s="188"/>
      <c r="Q184" s="188"/>
    </row>
    <row r="185">
      <c r="A185" s="214">
        <v>432.0</v>
      </c>
      <c r="B185" s="190" t="s">
        <v>11</v>
      </c>
      <c r="C185" s="203"/>
      <c r="D185" s="202"/>
      <c r="E185" s="204"/>
      <c r="F185" s="183" t="s">
        <v>124</v>
      </c>
      <c r="G185" s="202" t="s">
        <v>129</v>
      </c>
      <c r="H185" s="193" t="s">
        <v>130</v>
      </c>
      <c r="I185" s="193" t="s">
        <v>142</v>
      </c>
      <c r="J185" s="177" t="s">
        <v>117</v>
      </c>
      <c r="K185" s="195">
        <v>45818.0</v>
      </c>
      <c r="L185" s="196"/>
      <c r="M185" s="205" t="s">
        <v>143</v>
      </c>
      <c r="N185" s="177">
        <v>15.0</v>
      </c>
      <c r="O185" s="183"/>
      <c r="P185" s="188"/>
      <c r="Q185" s="188"/>
    </row>
    <row r="186">
      <c r="A186" s="214">
        <v>432.0</v>
      </c>
      <c r="B186" s="190" t="s">
        <v>11</v>
      </c>
      <c r="C186" s="203"/>
      <c r="D186" s="202"/>
      <c r="E186" s="204"/>
      <c r="F186" s="183" t="s">
        <v>124</v>
      </c>
      <c r="G186" s="183" t="s">
        <v>125</v>
      </c>
      <c r="H186" s="193" t="s">
        <v>130</v>
      </c>
      <c r="I186" s="193" t="s">
        <v>144</v>
      </c>
      <c r="J186" s="177" t="s">
        <v>117</v>
      </c>
      <c r="K186" s="195">
        <v>45818.0</v>
      </c>
      <c r="L186" s="196"/>
      <c r="M186" s="205" t="s">
        <v>145</v>
      </c>
      <c r="N186" s="177">
        <v>5.0</v>
      </c>
      <c r="O186" s="183"/>
      <c r="P186" s="188"/>
      <c r="Q186" s="188"/>
    </row>
    <row r="187">
      <c r="A187" s="214">
        <v>432.0</v>
      </c>
      <c r="B187" s="190" t="s">
        <v>11</v>
      </c>
      <c r="C187" s="203"/>
      <c r="D187" s="202"/>
      <c r="E187" s="204"/>
      <c r="F187" s="183" t="s">
        <v>124</v>
      </c>
      <c r="G187" s="183" t="s">
        <v>125</v>
      </c>
      <c r="H187" s="193" t="s">
        <v>146</v>
      </c>
      <c r="I187" s="193" t="s">
        <v>147</v>
      </c>
      <c r="J187" s="177" t="s">
        <v>117</v>
      </c>
      <c r="K187" s="195">
        <v>45818.0</v>
      </c>
      <c r="L187" s="177" t="s">
        <v>118</v>
      </c>
      <c r="M187" s="205" t="s">
        <v>148</v>
      </c>
      <c r="N187" s="177">
        <v>8.0</v>
      </c>
      <c r="O187" s="183" t="s">
        <v>149</v>
      </c>
      <c r="P187" s="188"/>
      <c r="Q187" s="188"/>
    </row>
    <row r="188">
      <c r="A188" s="206">
        <v>432.0</v>
      </c>
      <c r="B188" s="179" t="s">
        <v>11</v>
      </c>
      <c r="C188" s="207">
        <v>45702.0</v>
      </c>
      <c r="D188" s="181" t="s">
        <v>260</v>
      </c>
      <c r="E188" s="199" t="s">
        <v>242</v>
      </c>
      <c r="F188" s="202" t="s">
        <v>116</v>
      </c>
      <c r="G188" s="209"/>
      <c r="H188" s="210"/>
      <c r="I188" s="193"/>
      <c r="J188" s="196"/>
      <c r="K188" s="195"/>
      <c r="L188" s="196"/>
      <c r="M188" s="205"/>
      <c r="N188" s="211"/>
      <c r="O188" s="183"/>
      <c r="P188" s="188"/>
      <c r="Q188" s="188"/>
    </row>
    <row r="189">
      <c r="A189" s="206">
        <v>433.0</v>
      </c>
      <c r="B189" s="179" t="s">
        <v>11</v>
      </c>
      <c r="C189" s="208"/>
      <c r="D189" s="181" t="s">
        <v>122</v>
      </c>
      <c r="E189" s="182" t="s">
        <v>123</v>
      </c>
      <c r="F189" s="183" t="s">
        <v>124</v>
      </c>
      <c r="G189" s="183" t="s">
        <v>125</v>
      </c>
      <c r="H189" s="185" t="s">
        <v>126</v>
      </c>
      <c r="I189" s="185" t="s">
        <v>127</v>
      </c>
      <c r="J189" s="177" t="s">
        <v>117</v>
      </c>
      <c r="K189" s="186">
        <v>45736.0</v>
      </c>
      <c r="L189" s="187"/>
      <c r="M189" s="183" t="s">
        <v>261</v>
      </c>
      <c r="N189" s="183">
        <v>17.0</v>
      </c>
      <c r="O189" s="188"/>
      <c r="P189" s="188"/>
      <c r="Q189" s="188"/>
    </row>
    <row r="190">
      <c r="A190" s="206">
        <v>433.0</v>
      </c>
      <c r="B190" s="198" t="s">
        <v>11</v>
      </c>
      <c r="C190" s="199"/>
      <c r="D190" s="200"/>
      <c r="E190" s="198"/>
      <c r="F190" s="202" t="s">
        <v>137</v>
      </c>
      <c r="G190" s="183" t="s">
        <v>125</v>
      </c>
      <c r="H190" s="93" t="s">
        <v>152</v>
      </c>
      <c r="I190" s="185" t="s">
        <v>262</v>
      </c>
      <c r="J190" s="177" t="s">
        <v>117</v>
      </c>
      <c r="K190" s="186">
        <v>45777.0</v>
      </c>
      <c r="L190" s="183" t="s">
        <v>118</v>
      </c>
      <c r="M190" s="183" t="s">
        <v>263</v>
      </c>
      <c r="N190" s="183">
        <v>32.0</v>
      </c>
      <c r="O190" s="183" t="s">
        <v>264</v>
      </c>
      <c r="P190" s="213"/>
      <c r="Q190" s="213"/>
    </row>
    <row r="191">
      <c r="A191" s="206">
        <v>433.0</v>
      </c>
      <c r="B191" s="198" t="s">
        <v>11</v>
      </c>
      <c r="C191" s="199"/>
      <c r="D191" s="200"/>
      <c r="E191" s="198"/>
      <c r="F191" s="202" t="s">
        <v>137</v>
      </c>
      <c r="G191" s="194" t="s">
        <v>156</v>
      </c>
      <c r="H191" s="93" t="s">
        <v>157</v>
      </c>
      <c r="I191" s="194" t="s">
        <v>156</v>
      </c>
      <c r="J191" s="177" t="s">
        <v>117</v>
      </c>
      <c r="K191" s="186">
        <v>45777.0</v>
      </c>
      <c r="L191" s="183" t="s">
        <v>118</v>
      </c>
      <c r="M191" s="183" t="s">
        <v>158</v>
      </c>
      <c r="N191" s="183">
        <v>8.0</v>
      </c>
      <c r="O191" s="183" t="s">
        <v>159</v>
      </c>
      <c r="P191" s="213"/>
      <c r="Q191" s="213"/>
    </row>
    <row r="192">
      <c r="A192" s="214">
        <v>433.0</v>
      </c>
      <c r="B192" s="190" t="s">
        <v>11</v>
      </c>
      <c r="C192" s="191"/>
      <c r="D192" s="192"/>
      <c r="E192" s="191"/>
      <c r="F192" s="183" t="s">
        <v>124</v>
      </c>
      <c r="G192" s="190" t="s">
        <v>129</v>
      </c>
      <c r="H192" s="193" t="s">
        <v>130</v>
      </c>
      <c r="I192" s="194" t="s">
        <v>131</v>
      </c>
      <c r="J192" s="177" t="s">
        <v>117</v>
      </c>
      <c r="K192" s="195">
        <v>45789.0</v>
      </c>
      <c r="L192" s="211"/>
      <c r="M192" s="188"/>
      <c r="N192" s="177">
        <v>25.0</v>
      </c>
      <c r="O192" s="183" t="s">
        <v>165</v>
      </c>
      <c r="P192" s="188"/>
      <c r="Q192" s="188"/>
    </row>
    <row r="193">
      <c r="A193" s="212">
        <v>433.0</v>
      </c>
      <c r="B193" s="198" t="s">
        <v>11</v>
      </c>
      <c r="C193" s="199"/>
      <c r="D193" s="200"/>
      <c r="E193" s="199"/>
      <c r="F193" s="183" t="s">
        <v>124</v>
      </c>
      <c r="G193" s="194" t="s">
        <v>133</v>
      </c>
      <c r="H193" s="93" t="s">
        <v>134</v>
      </c>
      <c r="I193" s="93" t="s">
        <v>135</v>
      </c>
      <c r="J193" s="177" t="s">
        <v>117</v>
      </c>
      <c r="K193" s="186">
        <v>45790.0</v>
      </c>
      <c r="L193" s="187"/>
      <c r="M193" s="183"/>
      <c r="N193" s="183">
        <v>75.0</v>
      </c>
      <c r="O193" s="183" t="s">
        <v>136</v>
      </c>
      <c r="P193" s="188"/>
      <c r="Q193" s="188"/>
    </row>
    <row r="194">
      <c r="A194" s="212">
        <v>433.0</v>
      </c>
      <c r="B194" s="198" t="s">
        <v>11</v>
      </c>
      <c r="C194" s="199"/>
      <c r="D194" s="200"/>
      <c r="E194" s="199"/>
      <c r="F194" s="202" t="s">
        <v>137</v>
      </c>
      <c r="G194" s="194" t="s">
        <v>129</v>
      </c>
      <c r="H194" s="93" t="s">
        <v>160</v>
      </c>
      <c r="I194" s="216" t="s">
        <v>255</v>
      </c>
      <c r="J194" s="177" t="s">
        <v>117</v>
      </c>
      <c r="K194" s="186">
        <v>45790.0</v>
      </c>
      <c r="L194" s="187"/>
      <c r="M194" s="255" t="s">
        <v>244</v>
      </c>
      <c r="N194" s="183">
        <v>25.0</v>
      </c>
      <c r="O194" s="183" t="s">
        <v>169</v>
      </c>
      <c r="P194" s="188"/>
      <c r="Q194" s="188"/>
    </row>
    <row r="195">
      <c r="A195" s="212">
        <v>433.0</v>
      </c>
      <c r="B195" s="249" t="s">
        <v>11</v>
      </c>
      <c r="C195" s="250"/>
      <c r="D195" s="250"/>
      <c r="E195" s="250"/>
      <c r="F195" s="202" t="s">
        <v>137</v>
      </c>
      <c r="G195" s="239" t="s">
        <v>129</v>
      </c>
      <c r="H195" s="93" t="s">
        <v>160</v>
      </c>
      <c r="I195" s="256" t="s">
        <v>170</v>
      </c>
      <c r="J195" s="243" t="s">
        <v>117</v>
      </c>
      <c r="K195" s="244">
        <v>45790.0</v>
      </c>
      <c r="L195" s="183" t="s">
        <v>118</v>
      </c>
      <c r="M195" s="183" t="s">
        <v>171</v>
      </c>
      <c r="N195" s="183">
        <v>15.0</v>
      </c>
      <c r="O195" s="183" t="s">
        <v>172</v>
      </c>
      <c r="P195" s="188"/>
      <c r="Q195" s="188"/>
    </row>
    <row r="196">
      <c r="A196" s="203">
        <v>433.0</v>
      </c>
      <c r="B196" s="202" t="s">
        <v>11</v>
      </c>
      <c r="C196" s="203"/>
      <c r="D196" s="202"/>
      <c r="E196" s="204"/>
      <c r="F196" s="202" t="s">
        <v>137</v>
      </c>
      <c r="G196" s="202" t="s">
        <v>129</v>
      </c>
      <c r="H196" s="193" t="s">
        <v>138</v>
      </c>
      <c r="I196" s="193" t="s">
        <v>139</v>
      </c>
      <c r="J196" s="177" t="s">
        <v>117</v>
      </c>
      <c r="K196" s="195">
        <v>45796.0</v>
      </c>
      <c r="L196" s="177" t="s">
        <v>118</v>
      </c>
      <c r="M196" s="205" t="s">
        <v>265</v>
      </c>
      <c r="N196" s="177">
        <v>6.0</v>
      </c>
      <c r="O196" s="183" t="s">
        <v>141</v>
      </c>
      <c r="P196" s="188"/>
      <c r="Q196" s="188"/>
    </row>
    <row r="197">
      <c r="A197" s="214">
        <v>433.0</v>
      </c>
      <c r="B197" s="190" t="s">
        <v>11</v>
      </c>
      <c r="C197" s="214"/>
      <c r="D197" s="190"/>
      <c r="E197" s="191"/>
      <c r="F197" s="202" t="s">
        <v>137</v>
      </c>
      <c r="G197" s="190" t="s">
        <v>129</v>
      </c>
      <c r="H197" s="92" t="s">
        <v>138</v>
      </c>
      <c r="I197" s="194" t="s">
        <v>81</v>
      </c>
      <c r="J197" s="177" t="s">
        <v>117</v>
      </c>
      <c r="K197" s="195">
        <v>45819.0</v>
      </c>
      <c r="L197" s="177" t="s">
        <v>118</v>
      </c>
      <c r="M197" s="205" t="s">
        <v>266</v>
      </c>
      <c r="N197" s="177">
        <v>38.0</v>
      </c>
      <c r="O197" s="183"/>
      <c r="P197" s="188"/>
      <c r="Q197" s="188"/>
    </row>
    <row r="198">
      <c r="A198" s="214">
        <v>433.0</v>
      </c>
      <c r="B198" s="190" t="s">
        <v>11</v>
      </c>
      <c r="C198" s="203"/>
      <c r="D198" s="202"/>
      <c r="E198" s="204"/>
      <c r="F198" s="183" t="s">
        <v>124</v>
      </c>
      <c r="G198" s="202" t="s">
        <v>129</v>
      </c>
      <c r="H198" s="193" t="s">
        <v>130</v>
      </c>
      <c r="I198" s="193" t="s">
        <v>142</v>
      </c>
      <c r="J198" s="177" t="s">
        <v>117</v>
      </c>
      <c r="K198" s="195">
        <v>45818.0</v>
      </c>
      <c r="L198" s="196"/>
      <c r="M198" s="205" t="s">
        <v>143</v>
      </c>
      <c r="N198" s="177">
        <v>15.0</v>
      </c>
      <c r="O198" s="183"/>
      <c r="P198" s="188"/>
      <c r="Q198" s="188"/>
    </row>
    <row r="199">
      <c r="A199" s="214">
        <v>433.0</v>
      </c>
      <c r="B199" s="190" t="s">
        <v>11</v>
      </c>
      <c r="C199" s="203"/>
      <c r="D199" s="202"/>
      <c r="E199" s="204"/>
      <c r="F199" s="183" t="s">
        <v>124</v>
      </c>
      <c r="G199" s="183" t="s">
        <v>125</v>
      </c>
      <c r="H199" s="193" t="s">
        <v>130</v>
      </c>
      <c r="I199" s="193" t="s">
        <v>144</v>
      </c>
      <c r="J199" s="177" t="s">
        <v>117</v>
      </c>
      <c r="K199" s="195">
        <v>45818.0</v>
      </c>
      <c r="L199" s="196"/>
      <c r="M199" s="205" t="s">
        <v>145</v>
      </c>
      <c r="N199" s="177">
        <v>5.0</v>
      </c>
      <c r="O199" s="183"/>
      <c r="P199" s="188"/>
      <c r="Q199" s="188"/>
    </row>
    <row r="200">
      <c r="A200" s="214">
        <v>433.0</v>
      </c>
      <c r="B200" s="190" t="s">
        <v>11</v>
      </c>
      <c r="C200" s="203"/>
      <c r="D200" s="202"/>
      <c r="E200" s="204"/>
      <c r="F200" s="183" t="s">
        <v>124</v>
      </c>
      <c r="G200" s="183" t="s">
        <v>125</v>
      </c>
      <c r="H200" s="193" t="s">
        <v>146</v>
      </c>
      <c r="I200" s="193" t="s">
        <v>147</v>
      </c>
      <c r="J200" s="177" t="s">
        <v>117</v>
      </c>
      <c r="K200" s="195">
        <v>45818.0</v>
      </c>
      <c r="L200" s="177" t="s">
        <v>118</v>
      </c>
      <c r="M200" s="205" t="s">
        <v>148</v>
      </c>
      <c r="N200" s="177">
        <v>8.0</v>
      </c>
      <c r="O200" s="183" t="s">
        <v>149</v>
      </c>
      <c r="P200" s="188"/>
      <c r="Q200" s="188"/>
    </row>
    <row r="201">
      <c r="A201" s="206">
        <v>433.0</v>
      </c>
      <c r="B201" s="179" t="s">
        <v>11</v>
      </c>
      <c r="C201" s="207">
        <v>45702.0</v>
      </c>
      <c r="D201" s="181" t="s">
        <v>267</v>
      </c>
      <c r="E201" s="199" t="s">
        <v>242</v>
      </c>
      <c r="F201" s="202" t="s">
        <v>116</v>
      </c>
      <c r="G201" s="209"/>
      <c r="H201" s="210"/>
      <c r="I201" s="257"/>
      <c r="J201" s="196"/>
      <c r="K201" s="195"/>
      <c r="L201" s="196"/>
      <c r="M201" s="205"/>
      <c r="N201" s="211"/>
      <c r="O201" s="183"/>
      <c r="P201" s="188"/>
      <c r="Q201" s="188"/>
    </row>
    <row r="202">
      <c r="A202" s="206">
        <v>434.0</v>
      </c>
      <c r="B202" s="179" t="s">
        <v>11</v>
      </c>
      <c r="C202" s="208"/>
      <c r="D202" s="181" t="s">
        <v>122</v>
      </c>
      <c r="E202" s="182" t="s">
        <v>123</v>
      </c>
      <c r="F202" s="183" t="s">
        <v>124</v>
      </c>
      <c r="G202" s="183" t="s">
        <v>125</v>
      </c>
      <c r="H202" s="185" t="s">
        <v>126</v>
      </c>
      <c r="I202" s="185" t="s">
        <v>127</v>
      </c>
      <c r="J202" s="177" t="s">
        <v>117</v>
      </c>
      <c r="K202" s="186">
        <v>45736.0</v>
      </c>
      <c r="L202" s="183" t="s">
        <v>118</v>
      </c>
      <c r="M202" s="183" t="s">
        <v>247</v>
      </c>
      <c r="N202" s="183">
        <v>10.0</v>
      </c>
      <c r="O202" s="188"/>
      <c r="P202" s="188"/>
      <c r="Q202" s="188"/>
    </row>
    <row r="203">
      <c r="A203" s="214">
        <v>434.0</v>
      </c>
      <c r="B203" s="190" t="s">
        <v>11</v>
      </c>
      <c r="C203" s="191"/>
      <c r="D203" s="192"/>
      <c r="E203" s="191"/>
      <c r="F203" s="183" t="s">
        <v>124</v>
      </c>
      <c r="G203" s="190" t="s">
        <v>129</v>
      </c>
      <c r="H203" s="193" t="s">
        <v>130</v>
      </c>
      <c r="I203" s="194" t="s">
        <v>131</v>
      </c>
      <c r="J203" s="177" t="s">
        <v>117</v>
      </c>
      <c r="K203" s="195">
        <v>45789.0</v>
      </c>
      <c r="L203" s="211"/>
      <c r="M203" s="188"/>
      <c r="N203" s="177">
        <v>25.0</v>
      </c>
      <c r="O203" s="183" t="s">
        <v>165</v>
      </c>
      <c r="P203" s="188"/>
      <c r="Q203" s="188"/>
    </row>
    <row r="204">
      <c r="A204" s="212">
        <v>434.0</v>
      </c>
      <c r="B204" s="198" t="s">
        <v>11</v>
      </c>
      <c r="C204" s="199"/>
      <c r="D204" s="200"/>
      <c r="E204" s="199"/>
      <c r="F204" s="183" t="s">
        <v>124</v>
      </c>
      <c r="G204" s="194" t="s">
        <v>133</v>
      </c>
      <c r="H204" s="93" t="s">
        <v>134</v>
      </c>
      <c r="I204" s="93" t="s">
        <v>135</v>
      </c>
      <c r="J204" s="177" t="s">
        <v>117</v>
      </c>
      <c r="K204" s="186">
        <v>45790.0</v>
      </c>
      <c r="L204" s="187"/>
      <c r="M204" s="183"/>
      <c r="N204" s="183">
        <v>75.0</v>
      </c>
      <c r="O204" s="183" t="s">
        <v>136</v>
      </c>
      <c r="P204" s="188"/>
      <c r="Q204" s="188"/>
    </row>
    <row r="205">
      <c r="A205" s="212">
        <v>434.0</v>
      </c>
      <c r="B205" s="198" t="s">
        <v>11</v>
      </c>
      <c r="C205" s="199"/>
      <c r="D205" s="200"/>
      <c r="E205" s="199"/>
      <c r="F205" s="202" t="s">
        <v>137</v>
      </c>
      <c r="G205" s="194" t="s">
        <v>129</v>
      </c>
      <c r="H205" s="93" t="s">
        <v>160</v>
      </c>
      <c r="I205" s="216" t="s">
        <v>255</v>
      </c>
      <c r="J205" s="177" t="s">
        <v>117</v>
      </c>
      <c r="K205" s="186">
        <v>45790.0</v>
      </c>
      <c r="L205" s="183" t="s">
        <v>118</v>
      </c>
      <c r="M205" s="183" t="s">
        <v>244</v>
      </c>
      <c r="N205" s="183">
        <v>25.0</v>
      </c>
      <c r="O205" s="183" t="s">
        <v>169</v>
      </c>
      <c r="P205" s="188"/>
      <c r="Q205" s="188"/>
    </row>
    <row r="206">
      <c r="A206" s="212">
        <v>434.0</v>
      </c>
      <c r="B206" s="249" t="s">
        <v>11</v>
      </c>
      <c r="C206" s="250"/>
      <c r="D206" s="250"/>
      <c r="E206" s="250"/>
      <c r="F206" s="202" t="s">
        <v>137</v>
      </c>
      <c r="G206" s="239" t="s">
        <v>129</v>
      </c>
      <c r="H206" s="93" t="s">
        <v>160</v>
      </c>
      <c r="I206" s="256" t="s">
        <v>170</v>
      </c>
      <c r="J206" s="243" t="s">
        <v>117</v>
      </c>
      <c r="K206" s="244">
        <v>45790.0</v>
      </c>
      <c r="L206" s="183" t="s">
        <v>118</v>
      </c>
      <c r="M206" s="183" t="s">
        <v>171</v>
      </c>
      <c r="N206" s="183">
        <v>15.0</v>
      </c>
      <c r="O206" s="183" t="s">
        <v>172</v>
      </c>
      <c r="P206" s="188"/>
      <c r="Q206" s="188"/>
    </row>
    <row r="207">
      <c r="A207" s="203">
        <v>434.0</v>
      </c>
      <c r="B207" s="202" t="s">
        <v>11</v>
      </c>
      <c r="C207" s="203"/>
      <c r="D207" s="202"/>
      <c r="E207" s="204"/>
      <c r="F207" s="202" t="s">
        <v>137</v>
      </c>
      <c r="G207" s="202" t="s">
        <v>129</v>
      </c>
      <c r="H207" s="193" t="s">
        <v>138</v>
      </c>
      <c r="I207" s="193" t="s">
        <v>139</v>
      </c>
      <c r="J207" s="177" t="s">
        <v>162</v>
      </c>
      <c r="K207" s="195"/>
      <c r="L207" s="196"/>
      <c r="M207" s="205"/>
      <c r="N207" s="211"/>
      <c r="O207" s="183"/>
      <c r="P207" s="188"/>
      <c r="Q207" s="188"/>
    </row>
    <row r="208">
      <c r="A208" s="214">
        <v>434.0</v>
      </c>
      <c r="B208" s="190" t="s">
        <v>11</v>
      </c>
      <c r="C208" s="203"/>
      <c r="D208" s="202"/>
      <c r="E208" s="204"/>
      <c r="F208" s="183" t="s">
        <v>124</v>
      </c>
      <c r="G208" s="202" t="s">
        <v>129</v>
      </c>
      <c r="H208" s="193" t="s">
        <v>130</v>
      </c>
      <c r="I208" s="193" t="s">
        <v>142</v>
      </c>
      <c r="J208" s="177" t="s">
        <v>117</v>
      </c>
      <c r="K208" s="195">
        <v>45818.0</v>
      </c>
      <c r="L208" s="196"/>
      <c r="M208" s="205" t="s">
        <v>143</v>
      </c>
      <c r="N208" s="177">
        <v>15.0</v>
      </c>
      <c r="O208" s="183"/>
      <c r="P208" s="188"/>
      <c r="Q208" s="188"/>
    </row>
    <row r="209">
      <c r="A209" s="214">
        <v>434.0</v>
      </c>
      <c r="B209" s="190" t="s">
        <v>11</v>
      </c>
      <c r="C209" s="203"/>
      <c r="D209" s="202"/>
      <c r="E209" s="204"/>
      <c r="F209" s="183" t="s">
        <v>124</v>
      </c>
      <c r="G209" s="183" t="s">
        <v>125</v>
      </c>
      <c r="H209" s="193" t="s">
        <v>130</v>
      </c>
      <c r="I209" s="193" t="s">
        <v>144</v>
      </c>
      <c r="J209" s="177" t="s">
        <v>117</v>
      </c>
      <c r="K209" s="195">
        <v>45818.0</v>
      </c>
      <c r="L209" s="196"/>
      <c r="M209" s="205" t="s">
        <v>145</v>
      </c>
      <c r="N209" s="177">
        <v>5.0</v>
      </c>
      <c r="O209" s="183"/>
      <c r="P209" s="188"/>
      <c r="Q209" s="188"/>
    </row>
    <row r="210">
      <c r="A210" s="214">
        <v>434.0</v>
      </c>
      <c r="B210" s="190" t="s">
        <v>11</v>
      </c>
      <c r="C210" s="203"/>
      <c r="D210" s="202"/>
      <c r="E210" s="204"/>
      <c r="F210" s="183" t="s">
        <v>124</v>
      </c>
      <c r="G210" s="183" t="s">
        <v>125</v>
      </c>
      <c r="H210" s="193" t="s">
        <v>146</v>
      </c>
      <c r="I210" s="193" t="s">
        <v>147</v>
      </c>
      <c r="J210" s="177" t="s">
        <v>117</v>
      </c>
      <c r="K210" s="195">
        <v>45818.0</v>
      </c>
      <c r="L210" s="177" t="s">
        <v>118</v>
      </c>
      <c r="M210" s="205" t="s">
        <v>148</v>
      </c>
      <c r="N210" s="177">
        <v>8.0</v>
      </c>
      <c r="O210" s="183" t="s">
        <v>149</v>
      </c>
      <c r="P210" s="188"/>
      <c r="Q210" s="188"/>
    </row>
    <row r="211">
      <c r="A211" s="206">
        <v>434.0</v>
      </c>
      <c r="B211" s="179" t="s">
        <v>11</v>
      </c>
      <c r="C211" s="207">
        <v>45702.0</v>
      </c>
      <c r="D211" s="181" t="s">
        <v>268</v>
      </c>
      <c r="E211" s="199" t="s">
        <v>242</v>
      </c>
      <c r="F211" s="202" t="s">
        <v>116</v>
      </c>
      <c r="G211" s="209"/>
      <c r="H211" s="210"/>
      <c r="I211" s="193"/>
      <c r="J211" s="196"/>
      <c r="K211" s="195"/>
      <c r="L211" s="196"/>
      <c r="M211" s="205"/>
      <c r="N211" s="211"/>
      <c r="O211" s="183"/>
      <c r="P211" s="188"/>
      <c r="Q211" s="188"/>
    </row>
    <row r="212">
      <c r="A212" s="206">
        <v>435.0</v>
      </c>
      <c r="B212" s="179" t="s">
        <v>11</v>
      </c>
      <c r="C212" s="208"/>
      <c r="D212" s="181" t="s">
        <v>122</v>
      </c>
      <c r="E212" s="182" t="s">
        <v>123</v>
      </c>
      <c r="F212" s="183" t="s">
        <v>124</v>
      </c>
      <c r="G212" s="183" t="s">
        <v>125</v>
      </c>
      <c r="H212" s="185" t="s">
        <v>126</v>
      </c>
      <c r="I212" s="185" t="s">
        <v>127</v>
      </c>
      <c r="J212" s="177" t="s">
        <v>117</v>
      </c>
      <c r="K212" s="186">
        <v>45736.0</v>
      </c>
      <c r="L212" s="187"/>
      <c r="M212" s="183" t="s">
        <v>269</v>
      </c>
      <c r="N212" s="183">
        <v>25.0</v>
      </c>
      <c r="O212" s="188"/>
      <c r="P212" s="188"/>
      <c r="Q212" s="188"/>
    </row>
    <row r="213">
      <c r="A213" s="217">
        <v>435.0</v>
      </c>
      <c r="B213" s="198" t="s">
        <v>11</v>
      </c>
      <c r="C213" s="199"/>
      <c r="D213" s="200"/>
      <c r="E213" s="198"/>
      <c r="F213" s="202" t="s">
        <v>137</v>
      </c>
      <c r="G213" s="194" t="s">
        <v>129</v>
      </c>
      <c r="H213" s="93" t="s">
        <v>160</v>
      </c>
      <c r="I213" s="92" t="s">
        <v>270</v>
      </c>
      <c r="J213" s="177" t="s">
        <v>117</v>
      </c>
      <c r="K213" s="186">
        <v>45756.0</v>
      </c>
      <c r="L213" s="183" t="s">
        <v>118</v>
      </c>
      <c r="M213" s="183" t="s">
        <v>271</v>
      </c>
      <c r="N213" s="183">
        <v>15.0</v>
      </c>
      <c r="O213" s="183" t="s">
        <v>272</v>
      </c>
      <c r="P213" s="213"/>
      <c r="Q213" s="213"/>
    </row>
    <row r="214">
      <c r="A214" s="214">
        <v>435.0</v>
      </c>
      <c r="B214" s="190" t="s">
        <v>11</v>
      </c>
      <c r="C214" s="191"/>
      <c r="D214" s="192"/>
      <c r="E214" s="191"/>
      <c r="F214" s="183" t="s">
        <v>124</v>
      </c>
      <c r="G214" s="190" t="s">
        <v>129</v>
      </c>
      <c r="H214" s="193" t="s">
        <v>130</v>
      </c>
      <c r="I214" s="194" t="s">
        <v>131</v>
      </c>
      <c r="J214" s="177" t="s">
        <v>117</v>
      </c>
      <c r="K214" s="195">
        <v>45789.0</v>
      </c>
      <c r="L214" s="211"/>
      <c r="M214" s="188"/>
      <c r="N214" s="177">
        <v>25.0</v>
      </c>
      <c r="O214" s="183" t="s">
        <v>165</v>
      </c>
      <c r="P214" s="188"/>
      <c r="Q214" s="188"/>
    </row>
    <row r="215">
      <c r="A215" s="212">
        <v>435.0</v>
      </c>
      <c r="B215" s="198" t="s">
        <v>11</v>
      </c>
      <c r="C215" s="199"/>
      <c r="D215" s="200"/>
      <c r="E215" s="199"/>
      <c r="F215" s="183" t="s">
        <v>124</v>
      </c>
      <c r="G215" s="194" t="s">
        <v>133</v>
      </c>
      <c r="H215" s="93" t="s">
        <v>134</v>
      </c>
      <c r="I215" s="93" t="s">
        <v>329</v>
      </c>
      <c r="J215" s="177" t="s">
        <v>117</v>
      </c>
      <c r="K215" s="186">
        <v>45790.0</v>
      </c>
      <c r="L215" s="187"/>
      <c r="M215" s="183"/>
      <c r="N215" s="183">
        <v>75.0</v>
      </c>
      <c r="O215" s="183" t="s">
        <v>136</v>
      </c>
      <c r="P215" s="188"/>
      <c r="Q215" s="188"/>
    </row>
    <row r="216">
      <c r="A216" s="212">
        <v>435.0</v>
      </c>
      <c r="B216" s="249" t="s">
        <v>11</v>
      </c>
      <c r="C216" s="250"/>
      <c r="D216" s="250"/>
      <c r="E216" s="250"/>
      <c r="F216" s="202" t="s">
        <v>137</v>
      </c>
      <c r="G216" s="194" t="s">
        <v>129</v>
      </c>
      <c r="H216" s="93" t="s">
        <v>160</v>
      </c>
      <c r="I216" s="216" t="s">
        <v>255</v>
      </c>
      <c r="J216" s="177" t="s">
        <v>117</v>
      </c>
      <c r="K216" s="186">
        <v>45790.0</v>
      </c>
      <c r="L216" s="183" t="s">
        <v>118</v>
      </c>
      <c r="M216" s="183" t="s">
        <v>244</v>
      </c>
      <c r="N216" s="183">
        <v>25.0</v>
      </c>
      <c r="O216" s="183" t="s">
        <v>169</v>
      </c>
      <c r="P216" s="188"/>
      <c r="Q216" s="188"/>
    </row>
    <row r="217">
      <c r="A217" s="212">
        <v>435.0</v>
      </c>
      <c r="B217" s="249" t="s">
        <v>11</v>
      </c>
      <c r="C217" s="250"/>
      <c r="D217" s="250"/>
      <c r="E217" s="250"/>
      <c r="F217" s="202" t="s">
        <v>137</v>
      </c>
      <c r="G217" s="239" t="s">
        <v>129</v>
      </c>
      <c r="H217" s="93" t="s">
        <v>160</v>
      </c>
      <c r="I217" s="256" t="s">
        <v>170</v>
      </c>
      <c r="J217" s="243" t="s">
        <v>117</v>
      </c>
      <c r="K217" s="244">
        <v>45790.0</v>
      </c>
      <c r="L217" s="183" t="s">
        <v>118</v>
      </c>
      <c r="M217" s="183" t="s">
        <v>171</v>
      </c>
      <c r="N217" s="183">
        <v>15.0</v>
      </c>
      <c r="O217" s="183" t="s">
        <v>172</v>
      </c>
      <c r="P217" s="188"/>
      <c r="Q217" s="188"/>
    </row>
    <row r="218">
      <c r="A218" s="203">
        <v>435.0</v>
      </c>
      <c r="B218" s="202" t="s">
        <v>11</v>
      </c>
      <c r="C218" s="203"/>
      <c r="D218" s="202"/>
      <c r="E218" s="204"/>
      <c r="F218" s="202" t="s">
        <v>137</v>
      </c>
      <c r="G218" s="202" t="s">
        <v>129</v>
      </c>
      <c r="H218" s="193" t="s">
        <v>138</v>
      </c>
      <c r="I218" s="193" t="s">
        <v>139</v>
      </c>
      <c r="J218" s="177" t="s">
        <v>162</v>
      </c>
      <c r="K218" s="195"/>
      <c r="L218" s="196"/>
      <c r="M218" s="205"/>
      <c r="N218" s="211"/>
      <c r="O218" s="183"/>
      <c r="P218" s="188"/>
      <c r="Q218" s="188"/>
    </row>
    <row r="219">
      <c r="A219" s="214">
        <v>435.0</v>
      </c>
      <c r="B219" s="190" t="s">
        <v>11</v>
      </c>
      <c r="C219" s="203"/>
      <c r="D219" s="202"/>
      <c r="E219" s="204"/>
      <c r="F219" s="183" t="s">
        <v>124</v>
      </c>
      <c r="G219" s="202" t="s">
        <v>129</v>
      </c>
      <c r="H219" s="193" t="s">
        <v>130</v>
      </c>
      <c r="I219" s="193" t="s">
        <v>142</v>
      </c>
      <c r="J219" s="177" t="s">
        <v>117</v>
      </c>
      <c r="K219" s="195">
        <v>45818.0</v>
      </c>
      <c r="L219" s="196"/>
      <c r="M219" s="205" t="s">
        <v>143</v>
      </c>
      <c r="N219" s="177">
        <v>15.0</v>
      </c>
      <c r="O219" s="183"/>
      <c r="P219" s="188"/>
      <c r="Q219" s="188"/>
    </row>
    <row r="220">
      <c r="A220" s="214">
        <v>435.0</v>
      </c>
      <c r="B220" s="190" t="s">
        <v>11</v>
      </c>
      <c r="C220" s="203"/>
      <c r="D220" s="202"/>
      <c r="E220" s="204"/>
      <c r="F220" s="183" t="s">
        <v>124</v>
      </c>
      <c r="G220" s="183" t="s">
        <v>125</v>
      </c>
      <c r="H220" s="193" t="s">
        <v>130</v>
      </c>
      <c r="I220" s="193" t="s">
        <v>144</v>
      </c>
      <c r="J220" s="177" t="s">
        <v>117</v>
      </c>
      <c r="K220" s="195">
        <v>45818.0</v>
      </c>
      <c r="L220" s="196"/>
      <c r="M220" s="205" t="s">
        <v>145</v>
      </c>
      <c r="N220" s="177">
        <v>5.0</v>
      </c>
      <c r="O220" s="183"/>
      <c r="P220" s="188"/>
      <c r="Q220" s="188"/>
    </row>
    <row r="221">
      <c r="A221" s="214">
        <v>435.0</v>
      </c>
      <c r="B221" s="190" t="s">
        <v>11</v>
      </c>
      <c r="C221" s="203"/>
      <c r="D221" s="202"/>
      <c r="E221" s="204"/>
      <c r="F221" s="183" t="s">
        <v>124</v>
      </c>
      <c r="G221" s="183" t="s">
        <v>125</v>
      </c>
      <c r="H221" s="193" t="s">
        <v>146</v>
      </c>
      <c r="I221" s="193" t="s">
        <v>147</v>
      </c>
      <c r="J221" s="177" t="s">
        <v>117</v>
      </c>
      <c r="K221" s="195">
        <v>45818.0</v>
      </c>
      <c r="L221" s="177" t="s">
        <v>118</v>
      </c>
      <c r="M221" s="205" t="s">
        <v>148</v>
      </c>
      <c r="N221" s="177">
        <v>8.0</v>
      </c>
      <c r="O221" s="183" t="s">
        <v>149</v>
      </c>
      <c r="P221" s="188"/>
      <c r="Q221" s="188"/>
    </row>
    <row r="222">
      <c r="A222" s="206">
        <v>435.0</v>
      </c>
      <c r="B222" s="179" t="s">
        <v>11</v>
      </c>
      <c r="C222" s="207">
        <v>45702.0</v>
      </c>
      <c r="D222" s="181" t="s">
        <v>274</v>
      </c>
      <c r="E222" s="199" t="s">
        <v>242</v>
      </c>
      <c r="F222" s="202" t="s">
        <v>116</v>
      </c>
      <c r="G222" s="209"/>
      <c r="H222" s="210"/>
      <c r="I222" s="193"/>
      <c r="J222" s="196"/>
      <c r="K222" s="195"/>
      <c r="L222" s="196"/>
      <c r="M222" s="205"/>
      <c r="N222" s="211"/>
      <c r="O222" s="183"/>
      <c r="P222" s="188"/>
      <c r="Q222" s="188"/>
    </row>
    <row r="223">
      <c r="A223" s="206">
        <v>436.0</v>
      </c>
      <c r="B223" s="179" t="s">
        <v>11</v>
      </c>
      <c r="C223" s="208"/>
      <c r="D223" s="181" t="s">
        <v>122</v>
      </c>
      <c r="E223" s="182" t="s">
        <v>123</v>
      </c>
      <c r="F223" s="183" t="s">
        <v>124</v>
      </c>
      <c r="G223" s="183" t="s">
        <v>125</v>
      </c>
      <c r="H223" s="185" t="s">
        <v>126</v>
      </c>
      <c r="I223" s="185" t="s">
        <v>127</v>
      </c>
      <c r="J223" s="177" t="s">
        <v>117</v>
      </c>
      <c r="K223" s="186">
        <v>45736.0</v>
      </c>
      <c r="L223" s="187"/>
      <c r="M223" s="183" t="s">
        <v>188</v>
      </c>
      <c r="N223" s="183">
        <v>16.0</v>
      </c>
      <c r="O223" s="188"/>
      <c r="P223" s="188"/>
      <c r="Q223" s="188"/>
    </row>
    <row r="224">
      <c r="A224" s="217">
        <v>436.0</v>
      </c>
      <c r="B224" s="198" t="s">
        <v>11</v>
      </c>
      <c r="C224" s="199"/>
      <c r="D224" s="200"/>
      <c r="E224" s="198"/>
      <c r="F224" s="202" t="s">
        <v>137</v>
      </c>
      <c r="G224" s="183" t="s">
        <v>125</v>
      </c>
      <c r="H224" s="193" t="s">
        <v>134</v>
      </c>
      <c r="I224" s="92" t="s">
        <v>275</v>
      </c>
      <c r="J224" s="177" t="s">
        <v>117</v>
      </c>
      <c r="K224" s="186">
        <v>45756.0</v>
      </c>
      <c r="L224" s="187"/>
      <c r="M224" s="183" t="s">
        <v>276</v>
      </c>
      <c r="N224" s="183">
        <v>25.0</v>
      </c>
      <c r="O224" s="188"/>
      <c r="P224" s="188"/>
      <c r="Q224" s="188"/>
    </row>
    <row r="225">
      <c r="A225" s="212">
        <v>436.0</v>
      </c>
      <c r="B225" s="198" t="s">
        <v>11</v>
      </c>
      <c r="C225" s="199"/>
      <c r="D225" s="200"/>
      <c r="E225" s="199"/>
      <c r="F225" s="202" t="s">
        <v>137</v>
      </c>
      <c r="G225" s="93" t="s">
        <v>133</v>
      </c>
      <c r="H225" s="93" t="s">
        <v>152</v>
      </c>
      <c r="I225" s="93" t="s">
        <v>189</v>
      </c>
      <c r="J225" s="177" t="s">
        <v>117</v>
      </c>
      <c r="K225" s="186">
        <v>45777.0</v>
      </c>
      <c r="L225" s="245"/>
      <c r="M225" s="194" t="s">
        <v>277</v>
      </c>
      <c r="N225" s="183">
        <v>30.0</v>
      </c>
      <c r="O225" s="183" t="s">
        <v>278</v>
      </c>
      <c r="P225" s="213"/>
      <c r="Q225" s="213"/>
    </row>
    <row r="226">
      <c r="A226" s="212">
        <v>436.0</v>
      </c>
      <c r="B226" s="198" t="s">
        <v>11</v>
      </c>
      <c r="C226" s="199"/>
      <c r="D226" s="200"/>
      <c r="E226" s="199"/>
      <c r="F226" s="202" t="s">
        <v>137</v>
      </c>
      <c r="G226" s="122" t="s">
        <v>156</v>
      </c>
      <c r="H226" s="93" t="s">
        <v>157</v>
      </c>
      <c r="I226" s="93" t="s">
        <v>156</v>
      </c>
      <c r="J226" s="177" t="s">
        <v>117</v>
      </c>
      <c r="K226" s="186">
        <v>45777.0</v>
      </c>
      <c r="L226" s="194" t="s">
        <v>118</v>
      </c>
      <c r="M226" s="183" t="s">
        <v>158</v>
      </c>
      <c r="N226" s="183">
        <v>10.0</v>
      </c>
      <c r="O226" s="177"/>
      <c r="P226" s="173"/>
      <c r="Q226" s="173"/>
    </row>
    <row r="227">
      <c r="A227" s="214">
        <v>436.0</v>
      </c>
      <c r="B227" s="190" t="s">
        <v>11</v>
      </c>
      <c r="C227" s="191"/>
      <c r="D227" s="192"/>
      <c r="E227" s="191"/>
      <c r="F227" s="183" t="s">
        <v>124</v>
      </c>
      <c r="G227" s="190" t="s">
        <v>129</v>
      </c>
      <c r="H227" s="193" t="s">
        <v>130</v>
      </c>
      <c r="I227" s="194" t="s">
        <v>131</v>
      </c>
      <c r="J227" s="177" t="s">
        <v>117</v>
      </c>
      <c r="K227" s="195">
        <v>45789.0</v>
      </c>
      <c r="L227" s="211"/>
      <c r="M227" s="188"/>
      <c r="N227" s="177">
        <v>25.0</v>
      </c>
      <c r="O227" s="183" t="s">
        <v>165</v>
      </c>
      <c r="P227" s="188"/>
      <c r="Q227" s="188"/>
    </row>
    <row r="228">
      <c r="A228" s="212">
        <v>436.0</v>
      </c>
      <c r="B228" s="198" t="s">
        <v>11</v>
      </c>
      <c r="C228" s="199"/>
      <c r="D228" s="200"/>
      <c r="E228" s="199"/>
      <c r="F228" s="183" t="s">
        <v>124</v>
      </c>
      <c r="G228" s="194" t="s">
        <v>133</v>
      </c>
      <c r="H228" s="93" t="s">
        <v>134</v>
      </c>
      <c r="I228" s="93" t="s">
        <v>135</v>
      </c>
      <c r="J228" s="177" t="s">
        <v>117</v>
      </c>
      <c r="K228" s="186">
        <v>45790.0</v>
      </c>
      <c r="L228" s="187"/>
      <c r="M228" s="183"/>
      <c r="N228" s="183">
        <v>75.0</v>
      </c>
      <c r="O228" s="183" t="s">
        <v>136</v>
      </c>
      <c r="P228" s="188"/>
      <c r="Q228" s="188"/>
    </row>
    <row r="229">
      <c r="A229" s="212">
        <v>436.0</v>
      </c>
      <c r="B229" s="249" t="s">
        <v>11</v>
      </c>
      <c r="C229" s="250"/>
      <c r="D229" s="250"/>
      <c r="E229" s="250"/>
      <c r="F229" s="202" t="s">
        <v>137</v>
      </c>
      <c r="G229" s="194" t="s">
        <v>129</v>
      </c>
      <c r="H229" s="93" t="s">
        <v>160</v>
      </c>
      <c r="I229" s="216" t="s">
        <v>255</v>
      </c>
      <c r="J229" s="177" t="s">
        <v>117</v>
      </c>
      <c r="K229" s="186">
        <v>45790.0</v>
      </c>
      <c r="L229" s="183" t="s">
        <v>118</v>
      </c>
      <c r="M229" s="183" t="s">
        <v>244</v>
      </c>
      <c r="N229" s="183">
        <v>25.0</v>
      </c>
      <c r="O229" s="183" t="s">
        <v>169</v>
      </c>
      <c r="P229" s="188"/>
      <c r="Q229" s="188"/>
    </row>
    <row r="230">
      <c r="A230" s="212">
        <v>436.0</v>
      </c>
      <c r="B230" s="249" t="s">
        <v>11</v>
      </c>
      <c r="C230" s="250"/>
      <c r="D230" s="250"/>
      <c r="E230" s="250"/>
      <c r="F230" s="202" t="s">
        <v>137</v>
      </c>
      <c r="G230" s="239" t="s">
        <v>129</v>
      </c>
      <c r="H230" s="93" t="s">
        <v>160</v>
      </c>
      <c r="I230" s="256" t="s">
        <v>170</v>
      </c>
      <c r="J230" s="243" t="s">
        <v>117</v>
      </c>
      <c r="K230" s="244">
        <v>45790.0</v>
      </c>
      <c r="L230" s="183" t="s">
        <v>118</v>
      </c>
      <c r="M230" s="183" t="s">
        <v>171</v>
      </c>
      <c r="N230" s="183">
        <v>15.0</v>
      </c>
      <c r="O230" s="183" t="s">
        <v>172</v>
      </c>
      <c r="P230" s="188"/>
      <c r="Q230" s="188"/>
    </row>
    <row r="231">
      <c r="A231" s="203">
        <v>436.0</v>
      </c>
      <c r="B231" s="202" t="s">
        <v>11</v>
      </c>
      <c r="C231" s="203"/>
      <c r="D231" s="202"/>
      <c r="E231" s="204"/>
      <c r="F231" s="202" t="s">
        <v>137</v>
      </c>
      <c r="G231" s="202" t="s">
        <v>129</v>
      </c>
      <c r="H231" s="193" t="s">
        <v>138</v>
      </c>
      <c r="I231" s="193" t="s">
        <v>139</v>
      </c>
      <c r="J231" s="177" t="s">
        <v>162</v>
      </c>
      <c r="K231" s="195"/>
      <c r="L231" s="196"/>
      <c r="M231" s="205"/>
      <c r="N231" s="211"/>
      <c r="O231" s="183"/>
      <c r="P231" s="188"/>
      <c r="Q231" s="188"/>
    </row>
    <row r="232">
      <c r="A232" s="214">
        <v>436.0</v>
      </c>
      <c r="B232" s="190" t="s">
        <v>11</v>
      </c>
      <c r="C232" s="203"/>
      <c r="D232" s="202"/>
      <c r="E232" s="204"/>
      <c r="F232" s="183" t="s">
        <v>124</v>
      </c>
      <c r="G232" s="202" t="s">
        <v>129</v>
      </c>
      <c r="H232" s="193" t="s">
        <v>130</v>
      </c>
      <c r="I232" s="193" t="s">
        <v>142</v>
      </c>
      <c r="J232" s="177" t="s">
        <v>117</v>
      </c>
      <c r="K232" s="195">
        <v>45818.0</v>
      </c>
      <c r="L232" s="196"/>
      <c r="M232" s="205" t="s">
        <v>143</v>
      </c>
      <c r="N232" s="177">
        <v>15.0</v>
      </c>
      <c r="O232" s="183"/>
      <c r="P232" s="188"/>
      <c r="Q232" s="188"/>
    </row>
    <row r="233">
      <c r="A233" s="214">
        <v>436.0</v>
      </c>
      <c r="B233" s="190" t="s">
        <v>11</v>
      </c>
      <c r="C233" s="203"/>
      <c r="D233" s="202"/>
      <c r="E233" s="204"/>
      <c r="F233" s="183" t="s">
        <v>124</v>
      </c>
      <c r="G233" s="183" t="s">
        <v>125</v>
      </c>
      <c r="H233" s="193" t="s">
        <v>130</v>
      </c>
      <c r="I233" s="193" t="s">
        <v>144</v>
      </c>
      <c r="J233" s="177" t="s">
        <v>117</v>
      </c>
      <c r="K233" s="195">
        <v>45818.0</v>
      </c>
      <c r="L233" s="196"/>
      <c r="M233" s="205" t="s">
        <v>145</v>
      </c>
      <c r="N233" s="177">
        <v>5.0</v>
      </c>
      <c r="O233" s="183"/>
      <c r="P233" s="188"/>
      <c r="Q233" s="188"/>
    </row>
    <row r="234">
      <c r="A234" s="214">
        <v>436.0</v>
      </c>
      <c r="B234" s="190" t="s">
        <v>11</v>
      </c>
      <c r="C234" s="203"/>
      <c r="D234" s="202"/>
      <c r="E234" s="204"/>
      <c r="F234" s="183" t="s">
        <v>124</v>
      </c>
      <c r="G234" s="183" t="s">
        <v>125</v>
      </c>
      <c r="H234" s="193" t="s">
        <v>146</v>
      </c>
      <c r="I234" s="193" t="s">
        <v>147</v>
      </c>
      <c r="J234" s="177" t="s">
        <v>117</v>
      </c>
      <c r="K234" s="195">
        <v>45818.0</v>
      </c>
      <c r="L234" s="177" t="s">
        <v>118</v>
      </c>
      <c r="M234" s="205" t="s">
        <v>148</v>
      </c>
      <c r="N234" s="177">
        <v>8.0</v>
      </c>
      <c r="O234" s="183" t="s">
        <v>149</v>
      </c>
      <c r="P234" s="188"/>
      <c r="Q234" s="188"/>
    </row>
    <row r="235">
      <c r="A235" s="206">
        <v>436.0</v>
      </c>
      <c r="B235" s="179" t="s">
        <v>11</v>
      </c>
      <c r="C235" s="207">
        <v>45702.0</v>
      </c>
      <c r="D235" s="181" t="s">
        <v>279</v>
      </c>
      <c r="E235" s="199" t="s">
        <v>242</v>
      </c>
      <c r="F235" s="202" t="s">
        <v>116</v>
      </c>
      <c r="G235" s="209"/>
      <c r="H235" s="210"/>
      <c r="I235" s="193"/>
      <c r="J235" s="196"/>
      <c r="K235" s="195"/>
      <c r="L235" s="196"/>
      <c r="M235" s="205"/>
      <c r="N235" s="211"/>
      <c r="O235" s="183"/>
      <c r="P235" s="188"/>
      <c r="Q235" s="188"/>
    </row>
    <row r="236">
      <c r="A236" s="206">
        <v>437.0</v>
      </c>
      <c r="B236" s="179" t="s">
        <v>11</v>
      </c>
      <c r="C236" s="208"/>
      <c r="D236" s="181" t="s">
        <v>122</v>
      </c>
      <c r="E236" s="182" t="s">
        <v>123</v>
      </c>
      <c r="F236" s="183" t="s">
        <v>124</v>
      </c>
      <c r="G236" s="183" t="s">
        <v>125</v>
      </c>
      <c r="H236" s="185" t="s">
        <v>126</v>
      </c>
      <c r="I236" s="185" t="s">
        <v>127</v>
      </c>
      <c r="J236" s="177" t="s">
        <v>117</v>
      </c>
      <c r="K236" s="186">
        <v>45736.0</v>
      </c>
      <c r="L236" s="187"/>
      <c r="M236" s="183" t="s">
        <v>247</v>
      </c>
      <c r="N236" s="183">
        <v>10.0</v>
      </c>
      <c r="O236" s="188"/>
      <c r="P236" s="188"/>
      <c r="Q236" s="188"/>
    </row>
    <row r="237">
      <c r="A237" s="212">
        <v>437.0</v>
      </c>
      <c r="B237" s="179" t="s">
        <v>11</v>
      </c>
      <c r="C237" s="258"/>
      <c r="D237" s="259"/>
      <c r="E237" s="198"/>
      <c r="F237" s="202" t="s">
        <v>137</v>
      </c>
      <c r="G237" s="93" t="s">
        <v>129</v>
      </c>
      <c r="H237" s="92" t="s">
        <v>181</v>
      </c>
      <c r="I237" s="92" t="s">
        <v>203</v>
      </c>
      <c r="J237" s="177" t="s">
        <v>117</v>
      </c>
      <c r="K237" s="186">
        <v>45756.0</v>
      </c>
      <c r="L237" s="183" t="s">
        <v>118</v>
      </c>
      <c r="M237" s="183" t="s">
        <v>280</v>
      </c>
      <c r="N237" s="183">
        <v>5.0</v>
      </c>
      <c r="O237" s="188"/>
      <c r="P237" s="188"/>
      <c r="Q237" s="188"/>
    </row>
    <row r="238">
      <c r="A238" s="214">
        <v>437.0</v>
      </c>
      <c r="B238" s="190" t="s">
        <v>11</v>
      </c>
      <c r="C238" s="191"/>
      <c r="D238" s="192"/>
      <c r="E238" s="191"/>
      <c r="F238" s="183" t="s">
        <v>124</v>
      </c>
      <c r="G238" s="190" t="s">
        <v>129</v>
      </c>
      <c r="H238" s="193" t="s">
        <v>130</v>
      </c>
      <c r="I238" s="194" t="s">
        <v>131</v>
      </c>
      <c r="J238" s="177" t="s">
        <v>117</v>
      </c>
      <c r="K238" s="195">
        <v>45789.0</v>
      </c>
      <c r="L238" s="211"/>
      <c r="M238" s="188"/>
      <c r="N238" s="177">
        <v>25.0</v>
      </c>
      <c r="O238" s="183" t="s">
        <v>165</v>
      </c>
      <c r="P238" s="188"/>
      <c r="Q238" s="188"/>
    </row>
    <row r="239">
      <c r="A239" s="212">
        <v>437.0</v>
      </c>
      <c r="B239" s="198" t="s">
        <v>11</v>
      </c>
      <c r="C239" s="199"/>
      <c r="D239" s="200"/>
      <c r="E239" s="199"/>
      <c r="F239" s="183" t="s">
        <v>124</v>
      </c>
      <c r="G239" s="194" t="s">
        <v>133</v>
      </c>
      <c r="H239" s="93" t="s">
        <v>134</v>
      </c>
      <c r="I239" s="93" t="s">
        <v>135</v>
      </c>
      <c r="J239" s="177" t="s">
        <v>117</v>
      </c>
      <c r="K239" s="186">
        <v>45790.0</v>
      </c>
      <c r="L239" s="183" t="s">
        <v>118</v>
      </c>
      <c r="M239" s="183"/>
      <c r="N239" s="183">
        <v>75.0</v>
      </c>
      <c r="O239" s="183" t="s">
        <v>136</v>
      </c>
      <c r="P239" s="188"/>
      <c r="Q239" s="188"/>
    </row>
    <row r="240">
      <c r="A240" s="214">
        <v>437.0</v>
      </c>
      <c r="B240" s="190" t="s">
        <v>11</v>
      </c>
      <c r="C240" s="214"/>
      <c r="D240" s="190"/>
      <c r="E240" s="191"/>
      <c r="F240" s="202" t="s">
        <v>137</v>
      </c>
      <c r="G240" s="190" t="s">
        <v>129</v>
      </c>
      <c r="H240" s="194" t="s">
        <v>138</v>
      </c>
      <c r="I240" s="194" t="s">
        <v>139</v>
      </c>
      <c r="J240" s="177" t="s">
        <v>117</v>
      </c>
      <c r="K240" s="195">
        <v>45796.0</v>
      </c>
      <c r="L240" s="177" t="s">
        <v>118</v>
      </c>
      <c r="M240" s="205" t="s">
        <v>140</v>
      </c>
      <c r="N240" s="177">
        <v>6.0</v>
      </c>
      <c r="O240" s="183" t="s">
        <v>141</v>
      </c>
      <c r="P240" s="188"/>
      <c r="Q240" s="188"/>
    </row>
    <row r="241">
      <c r="A241" s="214">
        <v>437.0</v>
      </c>
      <c r="B241" s="190" t="s">
        <v>11</v>
      </c>
      <c r="C241" s="203"/>
      <c r="D241" s="202"/>
      <c r="E241" s="204"/>
      <c r="F241" s="183" t="s">
        <v>124</v>
      </c>
      <c r="G241" s="202" t="s">
        <v>129</v>
      </c>
      <c r="H241" s="193" t="s">
        <v>130</v>
      </c>
      <c r="I241" s="193" t="s">
        <v>142</v>
      </c>
      <c r="J241" s="177" t="s">
        <v>117</v>
      </c>
      <c r="K241" s="195">
        <v>45818.0</v>
      </c>
      <c r="L241" s="196"/>
      <c r="M241" s="205" t="s">
        <v>143</v>
      </c>
      <c r="N241" s="177">
        <v>15.0</v>
      </c>
      <c r="O241" s="183"/>
      <c r="P241" s="188"/>
      <c r="Q241" s="188"/>
    </row>
    <row r="242">
      <c r="A242" s="214">
        <v>437.0</v>
      </c>
      <c r="B242" s="190" t="s">
        <v>11</v>
      </c>
      <c r="C242" s="203"/>
      <c r="D242" s="202"/>
      <c r="E242" s="204"/>
      <c r="F242" s="183" t="s">
        <v>124</v>
      </c>
      <c r="G242" s="183" t="s">
        <v>125</v>
      </c>
      <c r="H242" s="193" t="s">
        <v>130</v>
      </c>
      <c r="I242" s="193" t="s">
        <v>144</v>
      </c>
      <c r="J242" s="177" t="s">
        <v>117</v>
      </c>
      <c r="K242" s="195">
        <v>45818.0</v>
      </c>
      <c r="L242" s="196"/>
      <c r="M242" s="205" t="s">
        <v>145</v>
      </c>
      <c r="N242" s="177">
        <v>5.0</v>
      </c>
      <c r="O242" s="183"/>
      <c r="P242" s="188"/>
      <c r="Q242" s="188"/>
    </row>
    <row r="243">
      <c r="A243" s="214">
        <v>437.0</v>
      </c>
      <c r="B243" s="190" t="s">
        <v>11</v>
      </c>
      <c r="C243" s="203"/>
      <c r="D243" s="202"/>
      <c r="E243" s="204"/>
      <c r="F243" s="183" t="s">
        <v>124</v>
      </c>
      <c r="G243" s="183" t="s">
        <v>125</v>
      </c>
      <c r="H243" s="193" t="s">
        <v>146</v>
      </c>
      <c r="I243" s="193" t="s">
        <v>147</v>
      </c>
      <c r="J243" s="177" t="s">
        <v>117</v>
      </c>
      <c r="K243" s="195">
        <v>45818.0</v>
      </c>
      <c r="L243" s="177" t="s">
        <v>118</v>
      </c>
      <c r="M243" s="205" t="s">
        <v>148</v>
      </c>
      <c r="N243" s="177">
        <v>8.0</v>
      </c>
      <c r="O243" s="183" t="s">
        <v>149</v>
      </c>
      <c r="P243" s="188"/>
      <c r="Q243" s="188"/>
    </row>
    <row r="244">
      <c r="A244" s="206">
        <v>437.0</v>
      </c>
      <c r="B244" s="179" t="s">
        <v>11</v>
      </c>
      <c r="C244" s="207">
        <v>45702.0</v>
      </c>
      <c r="D244" s="181" t="s">
        <v>281</v>
      </c>
      <c r="E244" s="199" t="s">
        <v>242</v>
      </c>
      <c r="F244" s="202" t="s">
        <v>116</v>
      </c>
      <c r="G244" s="209"/>
      <c r="H244" s="210"/>
      <c r="I244" s="193"/>
      <c r="J244" s="196"/>
      <c r="K244" s="195"/>
      <c r="L244" s="196"/>
      <c r="M244" s="205"/>
      <c r="N244" s="211"/>
      <c r="O244" s="183"/>
      <c r="P244" s="188"/>
      <c r="Q244" s="188"/>
    </row>
    <row r="245">
      <c r="A245" s="212">
        <v>438.0</v>
      </c>
      <c r="B245" s="198" t="s">
        <v>11</v>
      </c>
      <c r="C245" s="258"/>
      <c r="D245" s="200" t="s">
        <v>122</v>
      </c>
      <c r="E245" s="198" t="s">
        <v>123</v>
      </c>
      <c r="F245" s="183" t="s">
        <v>124</v>
      </c>
      <c r="G245" s="183" t="s">
        <v>125</v>
      </c>
      <c r="H245" s="185" t="s">
        <v>126</v>
      </c>
      <c r="I245" s="185" t="s">
        <v>127</v>
      </c>
      <c r="J245" s="177" t="s">
        <v>117</v>
      </c>
      <c r="K245" s="186">
        <v>45736.0</v>
      </c>
      <c r="L245" s="183" t="s">
        <v>118</v>
      </c>
      <c r="M245" s="183" t="s">
        <v>247</v>
      </c>
      <c r="N245" s="183">
        <v>10.0</v>
      </c>
      <c r="O245" s="188"/>
      <c r="P245" s="188"/>
      <c r="Q245" s="188"/>
    </row>
    <row r="246">
      <c r="A246" s="214">
        <v>438.0</v>
      </c>
      <c r="B246" s="190" t="s">
        <v>11</v>
      </c>
      <c r="C246" s="191"/>
      <c r="D246" s="192"/>
      <c r="E246" s="191"/>
      <c r="F246" s="183" t="s">
        <v>124</v>
      </c>
      <c r="G246" s="190" t="s">
        <v>129</v>
      </c>
      <c r="H246" s="193" t="s">
        <v>130</v>
      </c>
      <c r="I246" s="194" t="s">
        <v>131</v>
      </c>
      <c r="J246" s="177" t="s">
        <v>117</v>
      </c>
      <c r="K246" s="195">
        <v>45789.0</v>
      </c>
      <c r="L246" s="211"/>
      <c r="M246" s="188"/>
      <c r="N246" s="177">
        <v>25.0</v>
      </c>
      <c r="O246" s="183" t="s">
        <v>165</v>
      </c>
      <c r="P246" s="188"/>
      <c r="Q246" s="188"/>
    </row>
    <row r="247">
      <c r="A247" s="212">
        <v>438.0</v>
      </c>
      <c r="B247" s="198" t="s">
        <v>11</v>
      </c>
      <c r="C247" s="199"/>
      <c r="D247" s="200"/>
      <c r="E247" s="199"/>
      <c r="F247" s="183" t="s">
        <v>124</v>
      </c>
      <c r="G247" s="194" t="s">
        <v>133</v>
      </c>
      <c r="H247" s="93" t="s">
        <v>134</v>
      </c>
      <c r="I247" s="93" t="s">
        <v>135</v>
      </c>
      <c r="J247" s="177" t="s">
        <v>117</v>
      </c>
      <c r="K247" s="186">
        <v>45790.0</v>
      </c>
      <c r="L247" s="183" t="s">
        <v>118</v>
      </c>
      <c r="M247" s="183"/>
      <c r="N247" s="183">
        <v>75.0</v>
      </c>
      <c r="O247" s="183" t="s">
        <v>136</v>
      </c>
      <c r="P247" s="188"/>
      <c r="Q247" s="188"/>
    </row>
    <row r="248">
      <c r="A248" s="203">
        <v>438.0</v>
      </c>
      <c r="B248" s="202" t="s">
        <v>11</v>
      </c>
      <c r="C248" s="203"/>
      <c r="D248" s="202"/>
      <c r="E248" s="204"/>
      <c r="F248" s="202" t="s">
        <v>137</v>
      </c>
      <c r="G248" s="202" t="s">
        <v>129</v>
      </c>
      <c r="H248" s="193" t="s">
        <v>138</v>
      </c>
      <c r="I248" s="193" t="s">
        <v>139</v>
      </c>
      <c r="J248" s="177" t="s">
        <v>117</v>
      </c>
      <c r="K248" s="195">
        <v>45796.0</v>
      </c>
      <c r="L248" s="177" t="s">
        <v>118</v>
      </c>
      <c r="M248" s="205" t="s">
        <v>140</v>
      </c>
      <c r="N248" s="177">
        <v>6.0</v>
      </c>
      <c r="O248" s="183" t="s">
        <v>141</v>
      </c>
      <c r="P248" s="188"/>
      <c r="Q248" s="188"/>
    </row>
    <row r="249">
      <c r="A249" s="214">
        <v>438.0</v>
      </c>
      <c r="B249" s="190" t="s">
        <v>11</v>
      </c>
      <c r="C249" s="203"/>
      <c r="D249" s="202"/>
      <c r="E249" s="204"/>
      <c r="F249" s="183" t="s">
        <v>124</v>
      </c>
      <c r="G249" s="202" t="s">
        <v>129</v>
      </c>
      <c r="H249" s="193" t="s">
        <v>130</v>
      </c>
      <c r="I249" s="193" t="s">
        <v>142</v>
      </c>
      <c r="J249" s="177" t="s">
        <v>117</v>
      </c>
      <c r="K249" s="195">
        <v>45818.0</v>
      </c>
      <c r="L249" s="196"/>
      <c r="M249" s="205" t="s">
        <v>143</v>
      </c>
      <c r="N249" s="177">
        <v>15.0</v>
      </c>
      <c r="O249" s="183"/>
      <c r="P249" s="188"/>
      <c r="Q249" s="188"/>
    </row>
    <row r="250">
      <c r="A250" s="214">
        <v>438.0</v>
      </c>
      <c r="B250" s="190" t="s">
        <v>11</v>
      </c>
      <c r="C250" s="203"/>
      <c r="D250" s="202"/>
      <c r="E250" s="204"/>
      <c r="F250" s="183" t="s">
        <v>124</v>
      </c>
      <c r="G250" s="183" t="s">
        <v>125</v>
      </c>
      <c r="H250" s="193" t="s">
        <v>130</v>
      </c>
      <c r="I250" s="193" t="s">
        <v>144</v>
      </c>
      <c r="J250" s="177" t="s">
        <v>117</v>
      </c>
      <c r="K250" s="195">
        <v>45818.0</v>
      </c>
      <c r="L250" s="196"/>
      <c r="M250" s="205" t="s">
        <v>145</v>
      </c>
      <c r="N250" s="177">
        <v>5.0</v>
      </c>
      <c r="O250" s="183"/>
      <c r="P250" s="188"/>
      <c r="Q250" s="188"/>
    </row>
    <row r="251">
      <c r="A251" s="214">
        <v>438.0</v>
      </c>
      <c r="B251" s="190" t="s">
        <v>11</v>
      </c>
      <c r="C251" s="203"/>
      <c r="D251" s="202"/>
      <c r="E251" s="204"/>
      <c r="F251" s="183" t="s">
        <v>124</v>
      </c>
      <c r="G251" s="183" t="s">
        <v>125</v>
      </c>
      <c r="H251" s="193" t="s">
        <v>146</v>
      </c>
      <c r="I251" s="193" t="s">
        <v>147</v>
      </c>
      <c r="J251" s="177" t="s">
        <v>117</v>
      </c>
      <c r="K251" s="195">
        <v>45818.0</v>
      </c>
      <c r="L251" s="177" t="s">
        <v>118</v>
      </c>
      <c r="M251" s="205" t="s">
        <v>148</v>
      </c>
      <c r="N251" s="177">
        <v>8.0</v>
      </c>
      <c r="O251" s="183" t="s">
        <v>149</v>
      </c>
      <c r="P251" s="188"/>
      <c r="Q251" s="188"/>
    </row>
    <row r="252">
      <c r="A252" s="212">
        <v>438.0</v>
      </c>
      <c r="B252" s="179" t="s">
        <v>11</v>
      </c>
      <c r="C252" s="207">
        <v>45702.0</v>
      </c>
      <c r="D252" s="181" t="s">
        <v>282</v>
      </c>
      <c r="E252" s="199" t="s">
        <v>242</v>
      </c>
      <c r="F252" s="202" t="s">
        <v>116</v>
      </c>
      <c r="G252" s="209"/>
      <c r="H252" s="210"/>
      <c r="I252" s="193"/>
      <c r="J252" s="196"/>
      <c r="K252" s="195"/>
      <c r="L252" s="196"/>
      <c r="M252" s="205"/>
      <c r="N252" s="211"/>
      <c r="O252" s="183"/>
      <c r="P252" s="188"/>
      <c r="Q252" s="188"/>
    </row>
    <row r="253">
      <c r="A253" s="206">
        <v>439.0</v>
      </c>
      <c r="B253" s="179" t="s">
        <v>11</v>
      </c>
      <c r="C253" s="208"/>
      <c r="D253" s="181" t="s">
        <v>122</v>
      </c>
      <c r="E253" s="182" t="s">
        <v>123</v>
      </c>
      <c r="F253" s="183" t="s">
        <v>124</v>
      </c>
      <c r="G253" s="183" t="s">
        <v>125</v>
      </c>
      <c r="H253" s="185" t="s">
        <v>126</v>
      </c>
      <c r="I253" s="185" t="s">
        <v>127</v>
      </c>
      <c r="J253" s="177" t="s">
        <v>117</v>
      </c>
      <c r="K253" s="186">
        <v>45736.0</v>
      </c>
      <c r="L253" s="183" t="s">
        <v>118</v>
      </c>
      <c r="M253" s="183" t="s">
        <v>283</v>
      </c>
      <c r="N253" s="183">
        <v>11.0</v>
      </c>
      <c r="O253" s="188"/>
      <c r="P253" s="188"/>
      <c r="Q253" s="188"/>
    </row>
    <row r="254">
      <c r="A254" s="214">
        <v>439.0</v>
      </c>
      <c r="B254" s="190" t="s">
        <v>11</v>
      </c>
      <c r="C254" s="191"/>
      <c r="D254" s="192"/>
      <c r="E254" s="191"/>
      <c r="F254" s="183" t="s">
        <v>124</v>
      </c>
      <c r="G254" s="190" t="s">
        <v>129</v>
      </c>
      <c r="H254" s="193" t="s">
        <v>130</v>
      </c>
      <c r="I254" s="194" t="s">
        <v>131</v>
      </c>
      <c r="J254" s="177" t="s">
        <v>117</v>
      </c>
      <c r="K254" s="195">
        <v>45789.0</v>
      </c>
      <c r="L254" s="211"/>
      <c r="M254" s="188"/>
      <c r="N254" s="177">
        <v>25.0</v>
      </c>
      <c r="O254" s="183" t="s">
        <v>165</v>
      </c>
      <c r="P254" s="188"/>
      <c r="Q254" s="188"/>
    </row>
    <row r="255">
      <c r="A255" s="212">
        <v>439.0</v>
      </c>
      <c r="B255" s="198" t="s">
        <v>11</v>
      </c>
      <c r="C255" s="199"/>
      <c r="D255" s="200"/>
      <c r="E255" s="199"/>
      <c r="F255" s="183" t="s">
        <v>124</v>
      </c>
      <c r="G255" s="194" t="s">
        <v>133</v>
      </c>
      <c r="H255" s="93" t="s">
        <v>134</v>
      </c>
      <c r="I255" s="93" t="s">
        <v>135</v>
      </c>
      <c r="J255" s="177" t="s">
        <v>117</v>
      </c>
      <c r="K255" s="186">
        <v>45790.0</v>
      </c>
      <c r="L255" s="183" t="s">
        <v>118</v>
      </c>
      <c r="M255" s="183"/>
      <c r="N255" s="183">
        <v>75.0</v>
      </c>
      <c r="O255" s="183" t="s">
        <v>136</v>
      </c>
      <c r="P255" s="188"/>
      <c r="Q255" s="188"/>
    </row>
    <row r="256">
      <c r="A256" s="214">
        <v>439.0</v>
      </c>
      <c r="B256" s="190" t="s">
        <v>11</v>
      </c>
      <c r="C256" s="214"/>
      <c r="D256" s="190"/>
      <c r="E256" s="191"/>
      <c r="F256" s="202" t="s">
        <v>137</v>
      </c>
      <c r="G256" s="190" t="s">
        <v>129</v>
      </c>
      <c r="H256" s="194" t="s">
        <v>138</v>
      </c>
      <c r="I256" s="194" t="s">
        <v>139</v>
      </c>
      <c r="J256" s="177" t="s">
        <v>162</v>
      </c>
      <c r="K256" s="195"/>
      <c r="L256" s="196"/>
      <c r="M256" s="205"/>
      <c r="N256" s="211"/>
      <c r="O256" s="183"/>
      <c r="P256" s="188"/>
      <c r="Q256" s="188"/>
    </row>
    <row r="257">
      <c r="A257" s="214">
        <v>439.0</v>
      </c>
      <c r="B257" s="190" t="s">
        <v>11</v>
      </c>
      <c r="C257" s="203"/>
      <c r="D257" s="202"/>
      <c r="E257" s="204"/>
      <c r="F257" s="183" t="s">
        <v>124</v>
      </c>
      <c r="G257" s="202" t="s">
        <v>129</v>
      </c>
      <c r="H257" s="193" t="s">
        <v>130</v>
      </c>
      <c r="I257" s="193" t="s">
        <v>142</v>
      </c>
      <c r="J257" s="177" t="s">
        <v>117</v>
      </c>
      <c r="K257" s="195">
        <v>45818.0</v>
      </c>
      <c r="L257" s="196"/>
      <c r="M257" s="205" t="s">
        <v>143</v>
      </c>
      <c r="N257" s="177">
        <v>15.0</v>
      </c>
      <c r="O257" s="183"/>
      <c r="P257" s="188"/>
      <c r="Q257" s="188"/>
    </row>
    <row r="258">
      <c r="A258" s="214">
        <v>439.0</v>
      </c>
      <c r="B258" s="190" t="s">
        <v>11</v>
      </c>
      <c r="C258" s="203"/>
      <c r="D258" s="202"/>
      <c r="E258" s="204"/>
      <c r="F258" s="183" t="s">
        <v>124</v>
      </c>
      <c r="G258" s="183" t="s">
        <v>125</v>
      </c>
      <c r="H258" s="193" t="s">
        <v>130</v>
      </c>
      <c r="I258" s="193" t="s">
        <v>144</v>
      </c>
      <c r="J258" s="177" t="s">
        <v>117</v>
      </c>
      <c r="K258" s="195">
        <v>45818.0</v>
      </c>
      <c r="L258" s="196"/>
      <c r="M258" s="205" t="s">
        <v>145</v>
      </c>
      <c r="N258" s="177">
        <v>5.0</v>
      </c>
      <c r="O258" s="183"/>
      <c r="P258" s="188"/>
      <c r="Q258" s="188"/>
    </row>
    <row r="259">
      <c r="A259" s="214">
        <v>439.0</v>
      </c>
      <c r="B259" s="190" t="s">
        <v>11</v>
      </c>
      <c r="C259" s="203"/>
      <c r="D259" s="202"/>
      <c r="E259" s="204"/>
      <c r="F259" s="183" t="s">
        <v>124</v>
      </c>
      <c r="G259" s="183" t="s">
        <v>125</v>
      </c>
      <c r="H259" s="193" t="s">
        <v>146</v>
      </c>
      <c r="I259" s="193" t="s">
        <v>147</v>
      </c>
      <c r="J259" s="177" t="s">
        <v>117</v>
      </c>
      <c r="K259" s="195">
        <v>45818.0</v>
      </c>
      <c r="L259" s="177" t="s">
        <v>118</v>
      </c>
      <c r="M259" s="205" t="s">
        <v>148</v>
      </c>
      <c r="N259" s="177">
        <v>8.0</v>
      </c>
      <c r="O259" s="183" t="s">
        <v>149</v>
      </c>
      <c r="P259" s="188"/>
      <c r="Q259" s="188"/>
    </row>
    <row r="260">
      <c r="A260" s="206">
        <v>439.0</v>
      </c>
      <c r="B260" s="179" t="s">
        <v>11</v>
      </c>
      <c r="C260" s="207">
        <v>45702.0</v>
      </c>
      <c r="D260" s="181" t="s">
        <v>284</v>
      </c>
      <c r="E260" s="199" t="s">
        <v>242</v>
      </c>
      <c r="F260" s="202" t="s">
        <v>116</v>
      </c>
      <c r="G260" s="209"/>
      <c r="H260" s="210"/>
      <c r="I260" s="193"/>
      <c r="J260" s="196"/>
      <c r="K260" s="195"/>
      <c r="L260" s="196"/>
      <c r="M260" s="205"/>
      <c r="N260" s="211"/>
      <c r="O260" s="183"/>
      <c r="P260" s="188"/>
      <c r="Q260" s="188"/>
    </row>
    <row r="261">
      <c r="A261" s="217">
        <v>440.0</v>
      </c>
      <c r="B261" s="198" t="s">
        <v>11</v>
      </c>
      <c r="C261" s="199"/>
      <c r="D261" s="200" t="s">
        <v>122</v>
      </c>
      <c r="E261" s="198" t="s">
        <v>123</v>
      </c>
      <c r="F261" s="183" t="s">
        <v>124</v>
      </c>
      <c r="G261" s="183" t="s">
        <v>125</v>
      </c>
      <c r="H261" s="185" t="s">
        <v>126</v>
      </c>
      <c r="I261" s="185" t="s">
        <v>127</v>
      </c>
      <c r="J261" s="177" t="s">
        <v>117</v>
      </c>
      <c r="K261" s="186">
        <v>45736.0</v>
      </c>
      <c r="L261" s="187"/>
      <c r="M261" s="183" t="s">
        <v>188</v>
      </c>
      <c r="N261" s="183">
        <v>16.0</v>
      </c>
      <c r="O261" s="188"/>
      <c r="P261" s="188"/>
      <c r="Q261" s="188"/>
    </row>
    <row r="262">
      <c r="A262" s="212">
        <v>440.0</v>
      </c>
      <c r="B262" s="198" t="s">
        <v>11</v>
      </c>
      <c r="C262" s="199"/>
      <c r="D262" s="200"/>
      <c r="E262" s="199"/>
      <c r="F262" s="202" t="s">
        <v>137</v>
      </c>
      <c r="G262" s="183" t="s">
        <v>125</v>
      </c>
      <c r="H262" s="93" t="s">
        <v>181</v>
      </c>
      <c r="I262" s="93" t="s">
        <v>285</v>
      </c>
      <c r="J262" s="177" t="s">
        <v>117</v>
      </c>
      <c r="K262" s="186">
        <v>45777.0</v>
      </c>
      <c r="L262" s="187"/>
      <c r="M262" s="183" t="s">
        <v>286</v>
      </c>
      <c r="N262" s="183">
        <v>2.0</v>
      </c>
      <c r="O262" s="188"/>
      <c r="P262" s="188"/>
      <c r="Q262" s="188"/>
    </row>
    <row r="263">
      <c r="A263" s="214">
        <v>440.0</v>
      </c>
      <c r="B263" s="190" t="s">
        <v>11</v>
      </c>
      <c r="C263" s="191"/>
      <c r="D263" s="192"/>
      <c r="E263" s="191"/>
      <c r="F263" s="183" t="s">
        <v>124</v>
      </c>
      <c r="G263" s="190" t="s">
        <v>129</v>
      </c>
      <c r="H263" s="193" t="s">
        <v>130</v>
      </c>
      <c r="I263" s="194" t="s">
        <v>131</v>
      </c>
      <c r="J263" s="177" t="s">
        <v>117</v>
      </c>
      <c r="K263" s="195">
        <v>45789.0</v>
      </c>
      <c r="L263" s="211"/>
      <c r="M263" s="188"/>
      <c r="N263" s="177">
        <v>25.0</v>
      </c>
      <c r="O263" s="183" t="s">
        <v>165</v>
      </c>
      <c r="P263" s="188"/>
      <c r="Q263" s="188"/>
    </row>
    <row r="264">
      <c r="A264" s="212">
        <v>440.0</v>
      </c>
      <c r="B264" s="198" t="s">
        <v>11</v>
      </c>
      <c r="C264" s="199"/>
      <c r="D264" s="200"/>
      <c r="E264" s="199"/>
      <c r="F264" s="183" t="s">
        <v>124</v>
      </c>
      <c r="G264" s="194" t="s">
        <v>133</v>
      </c>
      <c r="H264" s="93" t="s">
        <v>134</v>
      </c>
      <c r="I264" s="93" t="s">
        <v>135</v>
      </c>
      <c r="J264" s="177" t="s">
        <v>117</v>
      </c>
      <c r="K264" s="186">
        <v>45790.0</v>
      </c>
      <c r="L264" s="183" t="s">
        <v>118</v>
      </c>
      <c r="M264" s="183"/>
      <c r="N264" s="183">
        <v>75.0</v>
      </c>
      <c r="O264" s="183" t="s">
        <v>136</v>
      </c>
      <c r="P264" s="188"/>
      <c r="Q264" s="188"/>
    </row>
    <row r="265">
      <c r="A265" s="203">
        <v>440.0</v>
      </c>
      <c r="B265" s="202" t="s">
        <v>11</v>
      </c>
      <c r="C265" s="203"/>
      <c r="D265" s="202"/>
      <c r="E265" s="204"/>
      <c r="F265" s="202" t="s">
        <v>137</v>
      </c>
      <c r="G265" s="202" t="s">
        <v>129</v>
      </c>
      <c r="H265" s="193" t="s">
        <v>138</v>
      </c>
      <c r="I265" s="193" t="s">
        <v>139</v>
      </c>
      <c r="J265" s="177" t="s">
        <v>162</v>
      </c>
      <c r="K265" s="195"/>
      <c r="L265" s="196"/>
      <c r="M265" s="205"/>
      <c r="N265" s="211"/>
      <c r="O265" s="183"/>
      <c r="P265" s="188"/>
      <c r="Q265" s="188"/>
    </row>
    <row r="266">
      <c r="A266" s="214">
        <v>440.0</v>
      </c>
      <c r="B266" s="190" t="s">
        <v>11</v>
      </c>
      <c r="C266" s="203"/>
      <c r="D266" s="202"/>
      <c r="E266" s="204"/>
      <c r="F266" s="183" t="s">
        <v>124</v>
      </c>
      <c r="G266" s="202" t="s">
        <v>129</v>
      </c>
      <c r="H266" s="193" t="s">
        <v>130</v>
      </c>
      <c r="I266" s="193" t="s">
        <v>142</v>
      </c>
      <c r="J266" s="177" t="s">
        <v>117</v>
      </c>
      <c r="K266" s="195">
        <v>45818.0</v>
      </c>
      <c r="L266" s="196"/>
      <c r="M266" s="205" t="s">
        <v>143</v>
      </c>
      <c r="N266" s="177">
        <v>15.0</v>
      </c>
      <c r="O266" s="183"/>
      <c r="P266" s="188"/>
      <c r="Q266" s="188"/>
    </row>
    <row r="267">
      <c r="A267" s="214">
        <v>440.0</v>
      </c>
      <c r="B267" s="190" t="s">
        <v>11</v>
      </c>
      <c r="C267" s="203"/>
      <c r="D267" s="202"/>
      <c r="E267" s="204"/>
      <c r="F267" s="183" t="s">
        <v>124</v>
      </c>
      <c r="G267" s="183" t="s">
        <v>125</v>
      </c>
      <c r="H267" s="193" t="s">
        <v>130</v>
      </c>
      <c r="I267" s="193" t="s">
        <v>144</v>
      </c>
      <c r="J267" s="177" t="s">
        <v>117</v>
      </c>
      <c r="K267" s="195">
        <v>45818.0</v>
      </c>
      <c r="L267" s="196"/>
      <c r="M267" s="205" t="s">
        <v>145</v>
      </c>
      <c r="N267" s="177">
        <v>5.0</v>
      </c>
      <c r="O267" s="183"/>
      <c r="P267" s="188"/>
      <c r="Q267" s="188"/>
    </row>
    <row r="268">
      <c r="A268" s="214">
        <v>440.0</v>
      </c>
      <c r="B268" s="190" t="s">
        <v>11</v>
      </c>
      <c r="C268" s="203"/>
      <c r="D268" s="202"/>
      <c r="E268" s="204"/>
      <c r="F268" s="183" t="s">
        <v>124</v>
      </c>
      <c r="G268" s="183" t="s">
        <v>125</v>
      </c>
      <c r="H268" s="193" t="s">
        <v>146</v>
      </c>
      <c r="I268" s="193" t="s">
        <v>147</v>
      </c>
      <c r="J268" s="177" t="s">
        <v>117</v>
      </c>
      <c r="K268" s="195">
        <v>45818.0</v>
      </c>
      <c r="L268" s="177" t="s">
        <v>118</v>
      </c>
      <c r="M268" s="205" t="s">
        <v>148</v>
      </c>
      <c r="N268" s="177">
        <v>8.0</v>
      </c>
      <c r="O268" s="183" t="s">
        <v>149</v>
      </c>
      <c r="P268" s="188"/>
      <c r="Q268" s="188"/>
    </row>
    <row r="269">
      <c r="A269" s="217">
        <v>440.0</v>
      </c>
      <c r="B269" s="179" t="s">
        <v>11</v>
      </c>
      <c r="C269" s="207">
        <v>45702.0</v>
      </c>
      <c r="D269" s="181" t="s">
        <v>287</v>
      </c>
      <c r="E269" s="199" t="s">
        <v>242</v>
      </c>
      <c r="F269" s="202" t="s">
        <v>116</v>
      </c>
      <c r="G269" s="209"/>
      <c r="H269" s="210"/>
      <c r="I269" s="193"/>
      <c r="J269" s="196"/>
      <c r="K269" s="195"/>
      <c r="L269" s="196"/>
      <c r="M269" s="205"/>
      <c r="N269" s="211"/>
      <c r="O269" s="183"/>
      <c r="P269" s="188"/>
      <c r="Q269" s="188"/>
    </row>
    <row r="270">
      <c r="A270" s="206">
        <v>441.0</v>
      </c>
      <c r="B270" s="179" t="s">
        <v>11</v>
      </c>
      <c r="C270" s="208"/>
      <c r="D270" s="181" t="s">
        <v>122</v>
      </c>
      <c r="E270" s="182" t="s">
        <v>123</v>
      </c>
      <c r="F270" s="183" t="s">
        <v>124</v>
      </c>
      <c r="G270" s="183" t="s">
        <v>125</v>
      </c>
      <c r="H270" s="185" t="s">
        <v>126</v>
      </c>
      <c r="I270" s="185" t="s">
        <v>127</v>
      </c>
      <c r="J270" s="177" t="s">
        <v>117</v>
      </c>
      <c r="K270" s="186">
        <v>45736.0</v>
      </c>
      <c r="L270" s="187"/>
      <c r="M270" s="183" t="s">
        <v>208</v>
      </c>
      <c r="N270" s="183">
        <v>13.0</v>
      </c>
      <c r="O270" s="188"/>
      <c r="P270" s="188"/>
      <c r="Q270" s="188"/>
    </row>
    <row r="271">
      <c r="A271" s="214">
        <v>441.0</v>
      </c>
      <c r="B271" s="190" t="s">
        <v>11</v>
      </c>
      <c r="C271" s="191"/>
      <c r="D271" s="192"/>
      <c r="E271" s="191"/>
      <c r="F271" s="183" t="s">
        <v>124</v>
      </c>
      <c r="G271" s="190" t="s">
        <v>129</v>
      </c>
      <c r="H271" s="193" t="s">
        <v>130</v>
      </c>
      <c r="I271" s="194" t="s">
        <v>131</v>
      </c>
      <c r="J271" s="177" t="s">
        <v>117</v>
      </c>
      <c r="K271" s="195">
        <v>45789.0</v>
      </c>
      <c r="L271" s="211"/>
      <c r="M271" s="188"/>
      <c r="N271" s="177">
        <v>25.0</v>
      </c>
      <c r="O271" s="183" t="s">
        <v>165</v>
      </c>
      <c r="P271" s="188"/>
      <c r="Q271" s="188"/>
    </row>
    <row r="272">
      <c r="A272" s="212">
        <v>441.0</v>
      </c>
      <c r="B272" s="198" t="s">
        <v>11</v>
      </c>
      <c r="C272" s="199"/>
      <c r="D272" s="200"/>
      <c r="E272" s="199"/>
      <c r="F272" s="183" t="s">
        <v>124</v>
      </c>
      <c r="G272" s="194" t="s">
        <v>133</v>
      </c>
      <c r="H272" s="93" t="s">
        <v>134</v>
      </c>
      <c r="I272" s="93" t="s">
        <v>135</v>
      </c>
      <c r="J272" s="177" t="s">
        <v>117</v>
      </c>
      <c r="K272" s="186">
        <v>45790.0</v>
      </c>
      <c r="L272" s="187"/>
      <c r="M272" s="183" t="s">
        <v>288</v>
      </c>
      <c r="N272" s="183">
        <v>75.0</v>
      </c>
      <c r="O272" s="183" t="s">
        <v>136</v>
      </c>
      <c r="P272" s="188"/>
      <c r="Q272" s="188"/>
    </row>
    <row r="273">
      <c r="A273" s="212">
        <v>441.0</v>
      </c>
      <c r="B273" s="249" t="s">
        <v>11</v>
      </c>
      <c r="C273" s="250"/>
      <c r="D273" s="250"/>
      <c r="E273" s="250"/>
      <c r="F273" s="202" t="s">
        <v>137</v>
      </c>
      <c r="G273" s="239" t="s">
        <v>129</v>
      </c>
      <c r="H273" s="93" t="s">
        <v>160</v>
      </c>
      <c r="I273" s="216" t="s">
        <v>167</v>
      </c>
      <c r="J273" s="177" t="s">
        <v>117</v>
      </c>
      <c r="K273" s="186">
        <v>45790.0</v>
      </c>
      <c r="L273" s="187"/>
      <c r="M273" s="183" t="s">
        <v>289</v>
      </c>
      <c r="N273" s="183">
        <v>25.0</v>
      </c>
      <c r="O273" s="183" t="s">
        <v>169</v>
      </c>
      <c r="P273" s="188"/>
      <c r="Q273" s="188"/>
    </row>
    <row r="274">
      <c r="A274" s="212">
        <v>441.0</v>
      </c>
      <c r="B274" s="249" t="s">
        <v>11</v>
      </c>
      <c r="C274" s="250"/>
      <c r="D274" s="250"/>
      <c r="E274" s="250"/>
      <c r="F274" s="202" t="s">
        <v>137</v>
      </c>
      <c r="G274" s="239" t="s">
        <v>129</v>
      </c>
      <c r="H274" s="93" t="s">
        <v>160</v>
      </c>
      <c r="I274" s="256" t="s">
        <v>170</v>
      </c>
      <c r="J274" s="243" t="s">
        <v>117</v>
      </c>
      <c r="K274" s="244">
        <v>45790.0</v>
      </c>
      <c r="L274" s="187"/>
      <c r="M274" s="183" t="s">
        <v>171</v>
      </c>
      <c r="N274" s="183">
        <v>15.0</v>
      </c>
      <c r="O274" s="183" t="s">
        <v>172</v>
      </c>
      <c r="P274" s="188"/>
      <c r="Q274" s="188"/>
    </row>
    <row r="275">
      <c r="A275" s="203">
        <v>441.0</v>
      </c>
      <c r="B275" s="202" t="s">
        <v>11</v>
      </c>
      <c r="C275" s="203"/>
      <c r="D275" s="202"/>
      <c r="E275" s="204"/>
      <c r="F275" s="202" t="s">
        <v>137</v>
      </c>
      <c r="G275" s="202" t="s">
        <v>129</v>
      </c>
      <c r="H275" s="193" t="s">
        <v>138</v>
      </c>
      <c r="I275" s="193" t="s">
        <v>139</v>
      </c>
      <c r="J275" s="177" t="s">
        <v>117</v>
      </c>
      <c r="K275" s="195">
        <v>45796.0</v>
      </c>
      <c r="L275" s="196"/>
      <c r="M275" s="205" t="s">
        <v>140</v>
      </c>
      <c r="N275" s="177">
        <v>6.0</v>
      </c>
      <c r="O275" s="183" t="s">
        <v>141</v>
      </c>
      <c r="P275" s="188"/>
      <c r="Q275" s="188"/>
    </row>
    <row r="276">
      <c r="A276" s="212">
        <v>441.0</v>
      </c>
      <c r="B276" s="198" t="s">
        <v>11</v>
      </c>
      <c r="C276" s="199"/>
      <c r="D276" s="200"/>
      <c r="E276" s="199"/>
      <c r="F276" s="202" t="s">
        <v>137</v>
      </c>
      <c r="G276" s="194" t="s">
        <v>129</v>
      </c>
      <c r="H276" s="93" t="s">
        <v>160</v>
      </c>
      <c r="I276" s="93" t="s">
        <v>173</v>
      </c>
      <c r="J276" s="177" t="s">
        <v>117</v>
      </c>
      <c r="K276" s="186">
        <v>45782.0</v>
      </c>
      <c r="L276" s="245"/>
      <c r="M276" s="194" t="s">
        <v>290</v>
      </c>
      <c r="N276" s="183">
        <v>15.0</v>
      </c>
      <c r="O276" s="188"/>
      <c r="P276" s="188"/>
      <c r="Q276" s="188"/>
    </row>
    <row r="277">
      <c r="A277" s="212">
        <v>441.0</v>
      </c>
      <c r="B277" s="198" t="s">
        <v>11</v>
      </c>
      <c r="C277" s="199"/>
      <c r="D277" s="200"/>
      <c r="E277" s="199"/>
      <c r="F277" s="202" t="s">
        <v>137</v>
      </c>
      <c r="G277" s="183" t="s">
        <v>125</v>
      </c>
      <c r="H277" s="193" t="s">
        <v>134</v>
      </c>
      <c r="I277" s="122" t="s">
        <v>191</v>
      </c>
      <c r="J277" s="177" t="s">
        <v>117</v>
      </c>
      <c r="K277" s="186">
        <v>45806.0</v>
      </c>
      <c r="L277" s="194" t="s">
        <v>118</v>
      </c>
      <c r="M277" s="194" t="s">
        <v>291</v>
      </c>
      <c r="N277" s="183">
        <v>5.0</v>
      </c>
      <c r="O277" s="188"/>
      <c r="P277" s="188"/>
      <c r="Q277" s="188"/>
    </row>
    <row r="278">
      <c r="A278" s="214">
        <v>441.0</v>
      </c>
      <c r="B278" s="190" t="s">
        <v>11</v>
      </c>
      <c r="C278" s="203"/>
      <c r="D278" s="202"/>
      <c r="E278" s="204"/>
      <c r="F278" s="183" t="s">
        <v>124</v>
      </c>
      <c r="G278" s="202" t="s">
        <v>129</v>
      </c>
      <c r="H278" s="193" t="s">
        <v>130</v>
      </c>
      <c r="I278" s="193" t="s">
        <v>142</v>
      </c>
      <c r="J278" s="177" t="s">
        <v>117</v>
      </c>
      <c r="K278" s="195">
        <v>45818.0</v>
      </c>
      <c r="L278" s="196"/>
      <c r="M278" s="205" t="s">
        <v>143</v>
      </c>
      <c r="N278" s="177">
        <v>15.0</v>
      </c>
      <c r="O278" s="183"/>
      <c r="P278" s="188"/>
      <c r="Q278" s="188"/>
    </row>
    <row r="279">
      <c r="A279" s="214">
        <v>441.0</v>
      </c>
      <c r="B279" s="190" t="s">
        <v>11</v>
      </c>
      <c r="C279" s="203"/>
      <c r="D279" s="202"/>
      <c r="E279" s="204"/>
      <c r="F279" s="183" t="s">
        <v>124</v>
      </c>
      <c r="G279" s="183" t="s">
        <v>125</v>
      </c>
      <c r="H279" s="193" t="s">
        <v>130</v>
      </c>
      <c r="I279" s="193" t="s">
        <v>144</v>
      </c>
      <c r="J279" s="177" t="s">
        <v>117</v>
      </c>
      <c r="K279" s="195">
        <v>45818.0</v>
      </c>
      <c r="L279" s="196"/>
      <c r="M279" s="205" t="s">
        <v>145</v>
      </c>
      <c r="N279" s="177">
        <v>5.0</v>
      </c>
      <c r="O279" s="183"/>
      <c r="P279" s="188"/>
      <c r="Q279" s="188"/>
    </row>
    <row r="280">
      <c r="A280" s="214">
        <v>441.0</v>
      </c>
      <c r="B280" s="190" t="s">
        <v>11</v>
      </c>
      <c r="C280" s="203"/>
      <c r="D280" s="202"/>
      <c r="E280" s="204"/>
      <c r="F280" s="183" t="s">
        <v>124</v>
      </c>
      <c r="G280" s="183" t="s">
        <v>125</v>
      </c>
      <c r="H280" s="193" t="s">
        <v>146</v>
      </c>
      <c r="I280" s="193" t="s">
        <v>147</v>
      </c>
      <c r="J280" s="177" t="s">
        <v>117</v>
      </c>
      <c r="K280" s="195">
        <v>45818.0</v>
      </c>
      <c r="L280" s="177" t="s">
        <v>118</v>
      </c>
      <c r="M280" s="205" t="s">
        <v>148</v>
      </c>
      <c r="N280" s="177">
        <v>8.0</v>
      </c>
      <c r="O280" s="183" t="s">
        <v>149</v>
      </c>
      <c r="P280" s="188"/>
      <c r="Q280" s="188"/>
    </row>
    <row r="281">
      <c r="A281" s="206">
        <v>441.0</v>
      </c>
      <c r="B281" s="179" t="s">
        <v>11</v>
      </c>
      <c r="C281" s="207">
        <v>45702.0</v>
      </c>
      <c r="D281" s="181" t="s">
        <v>292</v>
      </c>
      <c r="E281" s="199" t="s">
        <v>242</v>
      </c>
      <c r="F281" s="202" t="s">
        <v>116</v>
      </c>
      <c r="G281" s="209"/>
      <c r="H281" s="210"/>
      <c r="I281" s="193"/>
      <c r="J281" s="196"/>
      <c r="K281" s="195"/>
      <c r="L281" s="196"/>
      <c r="M281" s="205"/>
      <c r="N281" s="211"/>
      <c r="O281" s="183"/>
      <c r="P281" s="188"/>
      <c r="Q281" s="188"/>
    </row>
    <row r="282">
      <c r="A282" s="206">
        <v>442.0</v>
      </c>
      <c r="B282" s="179" t="s">
        <v>11</v>
      </c>
      <c r="C282" s="208"/>
      <c r="D282" s="181" t="s">
        <v>122</v>
      </c>
      <c r="E282" s="182" t="s">
        <v>123</v>
      </c>
      <c r="F282" s="183" t="s">
        <v>124</v>
      </c>
      <c r="G282" s="183" t="s">
        <v>125</v>
      </c>
      <c r="H282" s="185" t="s">
        <v>126</v>
      </c>
      <c r="I282" s="185" t="s">
        <v>127</v>
      </c>
      <c r="J282" s="177" t="s">
        <v>117</v>
      </c>
      <c r="K282" s="186">
        <v>45736.0</v>
      </c>
      <c r="L282" s="187"/>
      <c r="M282" s="183" t="s">
        <v>293</v>
      </c>
      <c r="N282" s="183">
        <v>22.0</v>
      </c>
      <c r="O282" s="188"/>
      <c r="P282" s="188"/>
      <c r="Q282" s="188"/>
    </row>
    <row r="283">
      <c r="A283" s="214">
        <v>442.0</v>
      </c>
      <c r="B283" s="190" t="s">
        <v>11</v>
      </c>
      <c r="C283" s="191"/>
      <c r="D283" s="192"/>
      <c r="E283" s="191"/>
      <c r="F283" s="183" t="s">
        <v>124</v>
      </c>
      <c r="G283" s="190" t="s">
        <v>129</v>
      </c>
      <c r="H283" s="193" t="s">
        <v>130</v>
      </c>
      <c r="I283" s="194" t="s">
        <v>131</v>
      </c>
      <c r="J283" s="177" t="s">
        <v>117</v>
      </c>
      <c r="K283" s="195">
        <v>45789.0</v>
      </c>
      <c r="L283" s="211"/>
      <c r="M283" s="188"/>
      <c r="N283" s="177">
        <v>25.0</v>
      </c>
      <c r="O283" s="183" t="s">
        <v>165</v>
      </c>
      <c r="P283" s="188"/>
      <c r="Q283" s="188"/>
    </row>
    <row r="284">
      <c r="A284" s="212">
        <v>442.0</v>
      </c>
      <c r="B284" s="198" t="s">
        <v>11</v>
      </c>
      <c r="C284" s="199"/>
      <c r="D284" s="200"/>
      <c r="E284" s="199"/>
      <c r="F284" s="183" t="s">
        <v>124</v>
      </c>
      <c r="G284" s="194" t="s">
        <v>133</v>
      </c>
      <c r="H284" s="93" t="s">
        <v>134</v>
      </c>
      <c r="I284" s="93" t="s">
        <v>135</v>
      </c>
      <c r="J284" s="177" t="s">
        <v>117</v>
      </c>
      <c r="K284" s="186">
        <v>45790.0</v>
      </c>
      <c r="L284" s="187"/>
      <c r="M284" s="183"/>
      <c r="N284" s="183">
        <v>75.0</v>
      </c>
      <c r="O284" s="183" t="s">
        <v>136</v>
      </c>
      <c r="P284" s="188"/>
      <c r="Q284" s="188"/>
    </row>
    <row r="285">
      <c r="A285" s="212">
        <v>442.0</v>
      </c>
      <c r="B285" s="249" t="s">
        <v>11</v>
      </c>
      <c r="C285" s="250"/>
      <c r="D285" s="250"/>
      <c r="E285" s="250"/>
      <c r="F285" s="202" t="s">
        <v>137</v>
      </c>
      <c r="G285" s="239" t="s">
        <v>129</v>
      </c>
      <c r="H285" s="93" t="s">
        <v>160</v>
      </c>
      <c r="I285" s="216" t="s">
        <v>167</v>
      </c>
      <c r="J285" s="177" t="s">
        <v>117</v>
      </c>
      <c r="K285" s="186">
        <v>45790.0</v>
      </c>
      <c r="L285" s="187"/>
      <c r="M285" s="183" t="s">
        <v>244</v>
      </c>
      <c r="N285" s="183">
        <v>25.0</v>
      </c>
      <c r="O285" s="183" t="s">
        <v>169</v>
      </c>
      <c r="P285" s="188"/>
      <c r="Q285" s="188"/>
    </row>
    <row r="286">
      <c r="A286" s="212">
        <v>442.0</v>
      </c>
      <c r="B286" s="240" t="s">
        <v>11</v>
      </c>
      <c r="C286" s="241"/>
      <c r="D286" s="241"/>
      <c r="E286" s="241"/>
      <c r="F286" s="202" t="s">
        <v>137</v>
      </c>
      <c r="G286" s="239" t="s">
        <v>129</v>
      </c>
      <c r="H286" s="93" t="s">
        <v>160</v>
      </c>
      <c r="I286" s="247" t="s">
        <v>170</v>
      </c>
      <c r="J286" s="243" t="s">
        <v>117</v>
      </c>
      <c r="K286" s="244">
        <v>45790.0</v>
      </c>
      <c r="L286" s="187"/>
      <c r="M286" s="183" t="s">
        <v>171</v>
      </c>
      <c r="N286" s="183">
        <v>15.0</v>
      </c>
      <c r="O286" s="183" t="s">
        <v>172</v>
      </c>
      <c r="P286" s="188"/>
      <c r="Q286" s="188"/>
    </row>
    <row r="287">
      <c r="A287" s="212">
        <v>442.0</v>
      </c>
      <c r="B287" s="198" t="s">
        <v>11</v>
      </c>
      <c r="C287" s="199"/>
      <c r="D287" s="200"/>
      <c r="E287" s="199"/>
      <c r="F287" s="202" t="s">
        <v>137</v>
      </c>
      <c r="G287" s="219" t="s">
        <v>129</v>
      </c>
      <c r="H287" s="93" t="s">
        <v>160</v>
      </c>
      <c r="I287" s="93" t="s">
        <v>173</v>
      </c>
      <c r="J287" s="177" t="s">
        <v>117</v>
      </c>
      <c r="K287" s="186">
        <v>45782.0</v>
      </c>
      <c r="L287" s="245"/>
      <c r="M287" s="194" t="s">
        <v>294</v>
      </c>
      <c r="N287" s="183">
        <v>25.0</v>
      </c>
      <c r="O287" s="188"/>
      <c r="P287" s="188"/>
      <c r="Q287" s="188"/>
    </row>
    <row r="288">
      <c r="A288" s="203">
        <v>442.0</v>
      </c>
      <c r="B288" s="202" t="s">
        <v>11</v>
      </c>
      <c r="C288" s="203"/>
      <c r="D288" s="202"/>
      <c r="E288" s="204"/>
      <c r="F288" s="202" t="s">
        <v>137</v>
      </c>
      <c r="G288" s="202" t="s">
        <v>129</v>
      </c>
      <c r="H288" s="193" t="s">
        <v>138</v>
      </c>
      <c r="I288" s="193" t="s">
        <v>139</v>
      </c>
      <c r="J288" s="177" t="s">
        <v>117</v>
      </c>
      <c r="K288" s="195"/>
      <c r="L288" s="177" t="s">
        <v>118</v>
      </c>
      <c r="M288" s="205" t="s">
        <v>140</v>
      </c>
      <c r="N288" s="177">
        <v>6.0</v>
      </c>
      <c r="O288" s="183" t="s">
        <v>141</v>
      </c>
      <c r="P288" s="188"/>
      <c r="Q288" s="188"/>
    </row>
    <row r="289">
      <c r="A289" s="203">
        <v>442.0</v>
      </c>
      <c r="B289" s="202" t="s">
        <v>11</v>
      </c>
      <c r="C289" s="203"/>
      <c r="D289" s="202"/>
      <c r="E289" s="204"/>
      <c r="F289" s="202" t="s">
        <v>137</v>
      </c>
      <c r="G289" s="183" t="s">
        <v>125</v>
      </c>
      <c r="H289" s="222" t="s">
        <v>181</v>
      </c>
      <c r="I289" s="222" t="s">
        <v>295</v>
      </c>
      <c r="J289" s="177" t="s">
        <v>162</v>
      </c>
      <c r="K289" s="195"/>
      <c r="L289" s="196"/>
      <c r="M289" s="205"/>
      <c r="N289" s="177"/>
      <c r="O289" s="183"/>
      <c r="P289" s="188"/>
      <c r="Q289" s="188"/>
    </row>
    <row r="290">
      <c r="A290" s="214">
        <v>442.0</v>
      </c>
      <c r="B290" s="190" t="s">
        <v>11</v>
      </c>
      <c r="C290" s="203"/>
      <c r="D290" s="202"/>
      <c r="E290" s="204"/>
      <c r="F290" s="183" t="s">
        <v>124</v>
      </c>
      <c r="G290" s="202" t="s">
        <v>129</v>
      </c>
      <c r="H290" s="193" t="s">
        <v>130</v>
      </c>
      <c r="I290" s="193" t="s">
        <v>142</v>
      </c>
      <c r="J290" s="177" t="s">
        <v>117</v>
      </c>
      <c r="K290" s="195">
        <v>45818.0</v>
      </c>
      <c r="L290" s="196"/>
      <c r="M290" s="205" t="s">
        <v>143</v>
      </c>
      <c r="N290" s="177">
        <v>15.0</v>
      </c>
      <c r="O290" s="183"/>
      <c r="P290" s="188"/>
      <c r="Q290" s="188"/>
    </row>
    <row r="291">
      <c r="A291" s="214">
        <v>442.0</v>
      </c>
      <c r="B291" s="190" t="s">
        <v>11</v>
      </c>
      <c r="C291" s="203"/>
      <c r="D291" s="202"/>
      <c r="E291" s="204"/>
      <c r="F291" s="183" t="s">
        <v>124</v>
      </c>
      <c r="G291" s="183" t="s">
        <v>125</v>
      </c>
      <c r="H291" s="193" t="s">
        <v>130</v>
      </c>
      <c r="I291" s="193" t="s">
        <v>144</v>
      </c>
      <c r="J291" s="177" t="s">
        <v>117</v>
      </c>
      <c r="K291" s="195">
        <v>45818.0</v>
      </c>
      <c r="L291" s="196"/>
      <c r="M291" s="205" t="s">
        <v>145</v>
      </c>
      <c r="N291" s="177">
        <v>5.0</v>
      </c>
      <c r="O291" s="183"/>
      <c r="P291" s="188"/>
      <c r="Q291" s="188"/>
    </row>
    <row r="292">
      <c r="A292" s="214">
        <v>442.0</v>
      </c>
      <c r="B292" s="190" t="s">
        <v>11</v>
      </c>
      <c r="C292" s="203"/>
      <c r="D292" s="202"/>
      <c r="E292" s="204"/>
      <c r="F292" s="183" t="s">
        <v>124</v>
      </c>
      <c r="G292" s="183" t="s">
        <v>125</v>
      </c>
      <c r="H292" s="193" t="s">
        <v>146</v>
      </c>
      <c r="I292" s="193" t="s">
        <v>147</v>
      </c>
      <c r="J292" s="177" t="s">
        <v>117</v>
      </c>
      <c r="K292" s="195">
        <v>45818.0</v>
      </c>
      <c r="L292" s="177" t="s">
        <v>118</v>
      </c>
      <c r="M292" s="205" t="s">
        <v>148</v>
      </c>
      <c r="N292" s="177">
        <v>8.0</v>
      </c>
      <c r="O292" s="183" t="s">
        <v>149</v>
      </c>
      <c r="P292" s="188"/>
      <c r="Q292" s="188"/>
    </row>
    <row r="293">
      <c r="A293" s="206">
        <v>442.0</v>
      </c>
      <c r="B293" s="179" t="s">
        <v>11</v>
      </c>
      <c r="C293" s="207">
        <v>45702.0</v>
      </c>
      <c r="D293" s="181" t="s">
        <v>296</v>
      </c>
      <c r="E293" s="199" t="s">
        <v>242</v>
      </c>
      <c r="F293" s="202" t="s">
        <v>116</v>
      </c>
      <c r="G293" s="209"/>
      <c r="H293" s="210"/>
      <c r="I293" s="193"/>
      <c r="J293" s="196"/>
      <c r="K293" s="195"/>
      <c r="L293" s="196"/>
      <c r="M293" s="205"/>
      <c r="N293" s="211"/>
      <c r="O293" s="183"/>
      <c r="P293" s="188"/>
      <c r="Q293" s="188"/>
    </row>
    <row r="294">
      <c r="A294" s="212">
        <v>443.0</v>
      </c>
      <c r="B294" s="199" t="s">
        <v>11</v>
      </c>
      <c r="C294" s="199"/>
      <c r="D294" s="200"/>
      <c r="E294" s="199"/>
      <c r="F294" s="202" t="s">
        <v>137</v>
      </c>
      <c r="G294" s="194" t="s">
        <v>194</v>
      </c>
      <c r="H294" s="93" t="s">
        <v>194</v>
      </c>
      <c r="I294" s="93" t="s">
        <v>297</v>
      </c>
      <c r="J294" s="177" t="s">
        <v>117</v>
      </c>
      <c r="K294" s="186" t="s">
        <v>257</v>
      </c>
      <c r="L294" s="187"/>
      <c r="M294" s="183" t="s">
        <v>298</v>
      </c>
      <c r="N294" s="183">
        <v>5.0</v>
      </c>
      <c r="O294" s="183"/>
      <c r="P294" s="188"/>
      <c r="Q294" s="188"/>
    </row>
    <row r="295">
      <c r="A295" s="206">
        <v>443.0</v>
      </c>
      <c r="B295" s="179" t="s">
        <v>11</v>
      </c>
      <c r="C295" s="208"/>
      <c r="D295" s="181" t="s">
        <v>122</v>
      </c>
      <c r="E295" s="182" t="s">
        <v>123</v>
      </c>
      <c r="F295" s="183" t="s">
        <v>124</v>
      </c>
      <c r="G295" s="183" t="s">
        <v>125</v>
      </c>
      <c r="H295" s="185" t="s">
        <v>126</v>
      </c>
      <c r="I295" s="185" t="s">
        <v>127</v>
      </c>
      <c r="J295" s="177" t="s">
        <v>117</v>
      </c>
      <c r="K295" s="186">
        <v>45736.0</v>
      </c>
      <c r="L295" s="187"/>
      <c r="M295" s="183" t="s">
        <v>176</v>
      </c>
      <c r="N295" s="183">
        <v>12.0</v>
      </c>
      <c r="O295" s="188"/>
      <c r="P295" s="188"/>
      <c r="Q295" s="188"/>
    </row>
    <row r="296">
      <c r="A296" s="212">
        <v>443.0</v>
      </c>
      <c r="B296" s="199" t="s">
        <v>11</v>
      </c>
      <c r="C296" s="199"/>
      <c r="D296" s="200"/>
      <c r="E296" s="199"/>
      <c r="F296" s="202" t="s">
        <v>137</v>
      </c>
      <c r="G296" s="93" t="s">
        <v>129</v>
      </c>
      <c r="H296" s="93" t="s">
        <v>181</v>
      </c>
      <c r="I296" s="93" t="s">
        <v>203</v>
      </c>
      <c r="J296" s="177" t="s">
        <v>117</v>
      </c>
      <c r="K296" s="186">
        <v>45756.0</v>
      </c>
      <c r="L296" s="187"/>
      <c r="M296" s="183" t="s">
        <v>299</v>
      </c>
      <c r="N296" s="183">
        <v>3.0</v>
      </c>
      <c r="O296" s="188"/>
      <c r="P296" s="188"/>
      <c r="Q296" s="188"/>
    </row>
    <row r="297">
      <c r="A297" s="214">
        <v>443.0</v>
      </c>
      <c r="B297" s="190" t="s">
        <v>11</v>
      </c>
      <c r="C297" s="191"/>
      <c r="D297" s="192"/>
      <c r="E297" s="191"/>
      <c r="F297" s="183" t="s">
        <v>124</v>
      </c>
      <c r="G297" s="190" t="s">
        <v>129</v>
      </c>
      <c r="H297" s="193" t="s">
        <v>130</v>
      </c>
      <c r="I297" s="194" t="s">
        <v>131</v>
      </c>
      <c r="J297" s="177" t="s">
        <v>117</v>
      </c>
      <c r="K297" s="195">
        <v>45789.0</v>
      </c>
      <c r="L297" s="211"/>
      <c r="M297" s="188"/>
      <c r="N297" s="177">
        <v>25.0</v>
      </c>
      <c r="O297" s="183" t="s">
        <v>165</v>
      </c>
      <c r="P297" s="188"/>
      <c r="Q297" s="188"/>
    </row>
    <row r="298">
      <c r="A298" s="212">
        <v>443.0</v>
      </c>
      <c r="B298" s="198" t="s">
        <v>11</v>
      </c>
      <c r="C298" s="199"/>
      <c r="D298" s="200"/>
      <c r="E298" s="199"/>
      <c r="F298" s="183" t="s">
        <v>124</v>
      </c>
      <c r="G298" s="194" t="s">
        <v>133</v>
      </c>
      <c r="H298" s="93" t="s">
        <v>134</v>
      </c>
      <c r="I298" s="93" t="s">
        <v>135</v>
      </c>
      <c r="J298" s="177" t="s">
        <v>117</v>
      </c>
      <c r="K298" s="186">
        <v>45790.0</v>
      </c>
      <c r="L298" s="187"/>
      <c r="M298" s="183"/>
      <c r="N298" s="183">
        <v>75.0</v>
      </c>
      <c r="O298" s="183" t="s">
        <v>136</v>
      </c>
      <c r="P298" s="188"/>
      <c r="Q298" s="188"/>
    </row>
    <row r="299">
      <c r="A299" s="203">
        <v>443.0</v>
      </c>
      <c r="B299" s="202" t="s">
        <v>11</v>
      </c>
      <c r="C299" s="203"/>
      <c r="D299" s="202"/>
      <c r="E299" s="204"/>
      <c r="F299" s="202" t="s">
        <v>137</v>
      </c>
      <c r="G299" s="202" t="s">
        <v>129</v>
      </c>
      <c r="H299" s="193" t="s">
        <v>138</v>
      </c>
      <c r="I299" s="193" t="s">
        <v>139</v>
      </c>
      <c r="J299" s="177" t="s">
        <v>117</v>
      </c>
      <c r="K299" s="195">
        <v>45796.0</v>
      </c>
      <c r="L299" s="196"/>
      <c r="M299" s="205" t="s">
        <v>140</v>
      </c>
      <c r="N299" s="177">
        <v>6.0</v>
      </c>
      <c r="O299" s="183" t="s">
        <v>141</v>
      </c>
      <c r="P299" s="188"/>
      <c r="Q299" s="188"/>
    </row>
    <row r="300">
      <c r="A300" s="214">
        <v>443.0</v>
      </c>
      <c r="B300" s="190" t="s">
        <v>11</v>
      </c>
      <c r="C300" s="214"/>
      <c r="D300" s="190"/>
      <c r="E300" s="191"/>
      <c r="F300" s="202" t="s">
        <v>137</v>
      </c>
      <c r="G300" s="190" t="s">
        <v>129</v>
      </c>
      <c r="H300" s="93" t="s">
        <v>160</v>
      </c>
      <c r="I300" s="260" t="s">
        <v>300</v>
      </c>
      <c r="J300" s="177" t="s">
        <v>117</v>
      </c>
      <c r="K300" s="195">
        <v>45824.0</v>
      </c>
      <c r="L300" s="177" t="s">
        <v>118</v>
      </c>
      <c r="M300" s="205" t="s">
        <v>301</v>
      </c>
      <c r="N300" s="177">
        <v>21.0</v>
      </c>
      <c r="O300" s="183" t="s">
        <v>302</v>
      </c>
      <c r="P300" s="188"/>
      <c r="Q300" s="188"/>
    </row>
    <row r="301">
      <c r="A301" s="214">
        <v>443.0</v>
      </c>
      <c r="B301" s="190" t="s">
        <v>11</v>
      </c>
      <c r="C301" s="203"/>
      <c r="D301" s="202"/>
      <c r="E301" s="204"/>
      <c r="F301" s="183" t="s">
        <v>124</v>
      </c>
      <c r="G301" s="202" t="s">
        <v>129</v>
      </c>
      <c r="H301" s="193" t="s">
        <v>130</v>
      </c>
      <c r="I301" s="193" t="s">
        <v>142</v>
      </c>
      <c r="J301" s="177" t="s">
        <v>117</v>
      </c>
      <c r="K301" s="195">
        <v>45818.0</v>
      </c>
      <c r="L301" s="196"/>
      <c r="M301" s="205" t="s">
        <v>143</v>
      </c>
      <c r="N301" s="177">
        <v>15.0</v>
      </c>
      <c r="O301" s="183"/>
      <c r="P301" s="188"/>
      <c r="Q301" s="188"/>
    </row>
    <row r="302">
      <c r="A302" s="214">
        <v>443.0</v>
      </c>
      <c r="B302" s="190" t="s">
        <v>11</v>
      </c>
      <c r="C302" s="203"/>
      <c r="D302" s="202"/>
      <c r="E302" s="204"/>
      <c r="F302" s="183" t="s">
        <v>124</v>
      </c>
      <c r="G302" s="183" t="s">
        <v>125</v>
      </c>
      <c r="H302" s="193" t="s">
        <v>130</v>
      </c>
      <c r="I302" s="193" t="s">
        <v>144</v>
      </c>
      <c r="J302" s="177" t="s">
        <v>117</v>
      </c>
      <c r="K302" s="195">
        <v>45818.0</v>
      </c>
      <c r="L302" s="196"/>
      <c r="M302" s="205" t="s">
        <v>145</v>
      </c>
      <c r="N302" s="177">
        <v>5.0</v>
      </c>
      <c r="O302" s="183"/>
      <c r="P302" s="188"/>
      <c r="Q302" s="188"/>
    </row>
    <row r="303">
      <c r="A303" s="214">
        <v>443.0</v>
      </c>
      <c r="B303" s="190" t="s">
        <v>11</v>
      </c>
      <c r="C303" s="203"/>
      <c r="D303" s="202"/>
      <c r="E303" s="204"/>
      <c r="F303" s="183" t="s">
        <v>124</v>
      </c>
      <c r="G303" s="183" t="s">
        <v>125</v>
      </c>
      <c r="H303" s="193" t="s">
        <v>146</v>
      </c>
      <c r="I303" s="193" t="s">
        <v>147</v>
      </c>
      <c r="J303" s="177" t="s">
        <v>117</v>
      </c>
      <c r="K303" s="195">
        <v>45818.0</v>
      </c>
      <c r="L303" s="177" t="s">
        <v>118</v>
      </c>
      <c r="M303" s="205" t="s">
        <v>148</v>
      </c>
      <c r="N303" s="177">
        <v>8.0</v>
      </c>
      <c r="O303" s="183" t="s">
        <v>149</v>
      </c>
      <c r="P303" s="188"/>
      <c r="Q303" s="188"/>
    </row>
    <row r="304">
      <c r="A304" s="206">
        <v>443.0</v>
      </c>
      <c r="B304" s="179" t="s">
        <v>11</v>
      </c>
      <c r="C304" s="207">
        <v>45702.0</v>
      </c>
      <c r="D304" s="181" t="s">
        <v>303</v>
      </c>
      <c r="E304" s="199" t="s">
        <v>242</v>
      </c>
      <c r="F304" s="202" t="s">
        <v>116</v>
      </c>
      <c r="G304" s="209"/>
      <c r="H304" s="210"/>
      <c r="I304" s="193"/>
      <c r="J304" s="196"/>
      <c r="K304" s="195"/>
      <c r="L304" s="196"/>
      <c r="M304" s="205"/>
      <c r="N304" s="211"/>
      <c r="O304" s="183"/>
      <c r="P304" s="188"/>
      <c r="Q304" s="188"/>
    </row>
    <row r="305">
      <c r="A305" s="206">
        <v>444.0</v>
      </c>
      <c r="B305" s="179" t="s">
        <v>11</v>
      </c>
      <c r="C305" s="208"/>
      <c r="D305" s="181" t="s">
        <v>122</v>
      </c>
      <c r="E305" s="182" t="s">
        <v>123</v>
      </c>
      <c r="F305" s="183" t="s">
        <v>124</v>
      </c>
      <c r="G305" s="183" t="s">
        <v>125</v>
      </c>
      <c r="H305" s="185" t="s">
        <v>126</v>
      </c>
      <c r="I305" s="185" t="s">
        <v>127</v>
      </c>
      <c r="J305" s="177" t="s">
        <v>117</v>
      </c>
      <c r="K305" s="186">
        <v>45736.0</v>
      </c>
      <c r="L305" s="187"/>
      <c r="M305" s="183" t="s">
        <v>283</v>
      </c>
      <c r="N305" s="183">
        <v>11.0</v>
      </c>
      <c r="O305" s="188"/>
      <c r="P305" s="188"/>
      <c r="Q305" s="188"/>
    </row>
    <row r="306">
      <c r="A306" s="214">
        <v>444.0</v>
      </c>
      <c r="B306" s="190" t="s">
        <v>11</v>
      </c>
      <c r="C306" s="191"/>
      <c r="D306" s="192"/>
      <c r="E306" s="191"/>
      <c r="F306" s="183" t="s">
        <v>124</v>
      </c>
      <c r="G306" s="190" t="s">
        <v>129</v>
      </c>
      <c r="H306" s="193" t="s">
        <v>130</v>
      </c>
      <c r="I306" s="194" t="s">
        <v>131</v>
      </c>
      <c r="J306" s="177" t="s">
        <v>117</v>
      </c>
      <c r="K306" s="195">
        <v>45789.0</v>
      </c>
      <c r="L306" s="211"/>
      <c r="M306" s="188"/>
      <c r="N306" s="177">
        <v>25.0</v>
      </c>
      <c r="O306" s="183" t="s">
        <v>165</v>
      </c>
      <c r="P306" s="188"/>
      <c r="Q306" s="188"/>
    </row>
    <row r="307">
      <c r="A307" s="212">
        <v>444.0</v>
      </c>
      <c r="B307" s="198" t="s">
        <v>11</v>
      </c>
      <c r="C307" s="199"/>
      <c r="D307" s="200"/>
      <c r="E307" s="199"/>
      <c r="F307" s="183" t="s">
        <v>124</v>
      </c>
      <c r="G307" s="194" t="s">
        <v>133</v>
      </c>
      <c r="H307" s="93" t="s">
        <v>134</v>
      </c>
      <c r="I307" s="93" t="s">
        <v>135</v>
      </c>
      <c r="J307" s="177" t="s">
        <v>117</v>
      </c>
      <c r="K307" s="186">
        <v>45790.0</v>
      </c>
      <c r="L307" s="183" t="s">
        <v>118</v>
      </c>
      <c r="M307" s="183"/>
      <c r="N307" s="183">
        <v>75.0</v>
      </c>
      <c r="O307" s="183" t="s">
        <v>136</v>
      </c>
      <c r="P307" s="188"/>
      <c r="Q307" s="188"/>
    </row>
    <row r="308">
      <c r="A308" s="203">
        <v>444.0</v>
      </c>
      <c r="B308" s="202" t="s">
        <v>11</v>
      </c>
      <c r="C308" s="203"/>
      <c r="D308" s="202"/>
      <c r="E308" s="204"/>
      <c r="F308" s="202" t="s">
        <v>137</v>
      </c>
      <c r="G308" s="202" t="s">
        <v>129</v>
      </c>
      <c r="H308" s="193" t="s">
        <v>138</v>
      </c>
      <c r="I308" s="193" t="s">
        <v>139</v>
      </c>
      <c r="J308" s="177" t="s">
        <v>162</v>
      </c>
      <c r="K308" s="195"/>
      <c r="L308" s="196"/>
      <c r="M308" s="205"/>
      <c r="N308" s="211"/>
      <c r="O308" s="183"/>
      <c r="P308" s="188"/>
      <c r="Q308" s="188"/>
    </row>
    <row r="309">
      <c r="A309" s="214">
        <v>444.0</v>
      </c>
      <c r="B309" s="190" t="s">
        <v>11</v>
      </c>
      <c r="C309" s="203"/>
      <c r="D309" s="202"/>
      <c r="E309" s="204"/>
      <c r="F309" s="183" t="s">
        <v>124</v>
      </c>
      <c r="G309" s="202" t="s">
        <v>129</v>
      </c>
      <c r="H309" s="193" t="s">
        <v>130</v>
      </c>
      <c r="I309" s="193" t="s">
        <v>142</v>
      </c>
      <c r="J309" s="177" t="s">
        <v>117</v>
      </c>
      <c r="K309" s="195">
        <v>45818.0</v>
      </c>
      <c r="L309" s="196"/>
      <c r="M309" s="205" t="s">
        <v>143</v>
      </c>
      <c r="N309" s="177">
        <v>15.0</v>
      </c>
      <c r="O309" s="183"/>
      <c r="P309" s="188"/>
      <c r="Q309" s="188"/>
    </row>
    <row r="310">
      <c r="A310" s="214">
        <v>444.0</v>
      </c>
      <c r="B310" s="190" t="s">
        <v>11</v>
      </c>
      <c r="C310" s="203"/>
      <c r="D310" s="202"/>
      <c r="E310" s="204"/>
      <c r="F310" s="183" t="s">
        <v>124</v>
      </c>
      <c r="G310" s="183" t="s">
        <v>125</v>
      </c>
      <c r="H310" s="193" t="s">
        <v>130</v>
      </c>
      <c r="I310" s="193" t="s">
        <v>144</v>
      </c>
      <c r="J310" s="177" t="s">
        <v>117</v>
      </c>
      <c r="K310" s="195">
        <v>45818.0</v>
      </c>
      <c r="L310" s="196"/>
      <c r="M310" s="205" t="s">
        <v>145</v>
      </c>
      <c r="N310" s="177">
        <v>5.0</v>
      </c>
      <c r="O310" s="183"/>
      <c r="P310" s="188"/>
      <c r="Q310" s="188"/>
    </row>
    <row r="311">
      <c r="A311" s="214">
        <v>444.0</v>
      </c>
      <c r="B311" s="190" t="s">
        <v>11</v>
      </c>
      <c r="C311" s="203"/>
      <c r="D311" s="202"/>
      <c r="E311" s="204"/>
      <c r="F311" s="183" t="s">
        <v>124</v>
      </c>
      <c r="G311" s="183" t="s">
        <v>125</v>
      </c>
      <c r="H311" s="193" t="s">
        <v>146</v>
      </c>
      <c r="I311" s="193" t="s">
        <v>147</v>
      </c>
      <c r="J311" s="177" t="s">
        <v>117</v>
      </c>
      <c r="K311" s="195">
        <v>45818.0</v>
      </c>
      <c r="L311" s="177" t="s">
        <v>118</v>
      </c>
      <c r="M311" s="205" t="s">
        <v>148</v>
      </c>
      <c r="N311" s="177">
        <v>8.0</v>
      </c>
      <c r="O311" s="183" t="s">
        <v>149</v>
      </c>
      <c r="P311" s="188"/>
      <c r="Q311" s="188"/>
    </row>
    <row r="312">
      <c r="A312" s="206">
        <v>444.0</v>
      </c>
      <c r="B312" s="179" t="s">
        <v>11</v>
      </c>
      <c r="C312" s="207">
        <v>45702.0</v>
      </c>
      <c r="D312" s="181" t="s">
        <v>304</v>
      </c>
      <c r="E312" s="199" t="s">
        <v>242</v>
      </c>
      <c r="F312" s="202" t="s">
        <v>116</v>
      </c>
      <c r="G312" s="209"/>
      <c r="H312" s="210"/>
      <c r="I312" s="193"/>
      <c r="J312" s="196"/>
      <c r="K312" s="195"/>
      <c r="L312" s="196"/>
      <c r="M312" s="205"/>
      <c r="N312" s="211"/>
      <c r="O312" s="183"/>
      <c r="P312" s="188"/>
      <c r="Q312" s="188"/>
    </row>
    <row r="313">
      <c r="A313" s="206">
        <v>445.0</v>
      </c>
      <c r="B313" s="179" t="s">
        <v>11</v>
      </c>
      <c r="C313" s="208"/>
      <c r="D313" s="181" t="s">
        <v>122</v>
      </c>
      <c r="E313" s="182" t="s">
        <v>123</v>
      </c>
      <c r="F313" s="183" t="s">
        <v>124</v>
      </c>
      <c r="G313" s="183" t="s">
        <v>125</v>
      </c>
      <c r="H313" s="185" t="s">
        <v>126</v>
      </c>
      <c r="I313" s="185" t="s">
        <v>127</v>
      </c>
      <c r="J313" s="177" t="s">
        <v>117</v>
      </c>
      <c r="K313" s="186">
        <v>45736.0</v>
      </c>
      <c r="L313" s="187"/>
      <c r="M313" s="183" t="s">
        <v>305</v>
      </c>
      <c r="N313" s="183">
        <v>9.0</v>
      </c>
      <c r="O313" s="188"/>
      <c r="P313" s="188"/>
      <c r="Q313" s="188"/>
    </row>
    <row r="314">
      <c r="A314" s="214">
        <v>445.0</v>
      </c>
      <c r="B314" s="190" t="s">
        <v>11</v>
      </c>
      <c r="C314" s="191"/>
      <c r="D314" s="192"/>
      <c r="E314" s="191"/>
      <c r="F314" s="183" t="s">
        <v>124</v>
      </c>
      <c r="G314" s="190" t="s">
        <v>129</v>
      </c>
      <c r="H314" s="193" t="s">
        <v>130</v>
      </c>
      <c r="I314" s="194" t="s">
        <v>131</v>
      </c>
      <c r="J314" s="177" t="s">
        <v>117</v>
      </c>
      <c r="K314" s="195">
        <v>45789.0</v>
      </c>
      <c r="L314" s="211"/>
      <c r="M314" s="188"/>
      <c r="N314" s="177">
        <v>25.0</v>
      </c>
      <c r="O314" s="183" t="s">
        <v>165</v>
      </c>
      <c r="P314" s="188"/>
      <c r="Q314" s="188"/>
    </row>
    <row r="315">
      <c r="A315" s="212">
        <v>445.0</v>
      </c>
      <c r="B315" s="198" t="s">
        <v>11</v>
      </c>
      <c r="C315" s="199"/>
      <c r="D315" s="200"/>
      <c r="E315" s="199"/>
      <c r="F315" s="183" t="s">
        <v>124</v>
      </c>
      <c r="G315" s="194" t="s">
        <v>133</v>
      </c>
      <c r="H315" s="93" t="s">
        <v>134</v>
      </c>
      <c r="I315" s="93" t="s">
        <v>135</v>
      </c>
      <c r="J315" s="177" t="s">
        <v>117</v>
      </c>
      <c r="K315" s="186">
        <v>45790.0</v>
      </c>
      <c r="L315" s="187"/>
      <c r="M315" s="183"/>
      <c r="N315" s="183">
        <v>75.0</v>
      </c>
      <c r="O315" s="183" t="s">
        <v>136</v>
      </c>
      <c r="P315" s="188"/>
      <c r="Q315" s="188"/>
    </row>
    <row r="316">
      <c r="A316" s="203">
        <v>445.0</v>
      </c>
      <c r="B316" s="202" t="s">
        <v>11</v>
      </c>
      <c r="C316" s="203"/>
      <c r="D316" s="202"/>
      <c r="E316" s="204"/>
      <c r="F316" s="202" t="s">
        <v>137</v>
      </c>
      <c r="G316" s="202" t="s">
        <v>129</v>
      </c>
      <c r="H316" s="193" t="s">
        <v>138</v>
      </c>
      <c r="I316" s="193" t="s">
        <v>139</v>
      </c>
      <c r="J316" s="177" t="s">
        <v>117</v>
      </c>
      <c r="K316" s="195">
        <v>45796.0</v>
      </c>
      <c r="L316" s="196"/>
      <c r="M316" s="205" t="s">
        <v>265</v>
      </c>
      <c r="N316" s="177">
        <v>6.0</v>
      </c>
      <c r="O316" s="183" t="s">
        <v>141</v>
      </c>
      <c r="P316" s="188"/>
      <c r="Q316" s="188"/>
    </row>
    <row r="317">
      <c r="A317" s="214">
        <v>445.0</v>
      </c>
      <c r="B317" s="190" t="s">
        <v>11</v>
      </c>
      <c r="C317" s="214"/>
      <c r="D317" s="190"/>
      <c r="E317" s="191"/>
      <c r="F317" s="202" t="s">
        <v>137</v>
      </c>
      <c r="G317" s="190" t="s">
        <v>129</v>
      </c>
      <c r="H317" s="193" t="s">
        <v>134</v>
      </c>
      <c r="I317" s="122" t="s">
        <v>76</v>
      </c>
      <c r="J317" s="177" t="s">
        <v>117</v>
      </c>
      <c r="K317" s="195">
        <v>45806.0</v>
      </c>
      <c r="L317" s="196"/>
      <c r="M317" s="205" t="s">
        <v>291</v>
      </c>
      <c r="N317" s="177">
        <v>5.0</v>
      </c>
      <c r="O317" s="183"/>
      <c r="P317" s="188"/>
      <c r="Q317" s="188"/>
    </row>
    <row r="318">
      <c r="A318" s="214">
        <v>445.0</v>
      </c>
      <c r="B318" s="190" t="s">
        <v>11</v>
      </c>
      <c r="C318" s="214"/>
      <c r="D318" s="190"/>
      <c r="E318" s="191"/>
      <c r="F318" s="202" t="s">
        <v>137</v>
      </c>
      <c r="G318" s="190" t="s">
        <v>129</v>
      </c>
      <c r="H318" s="93" t="s">
        <v>160</v>
      </c>
      <c r="I318" s="260" t="s">
        <v>300</v>
      </c>
      <c r="J318" s="177" t="s">
        <v>117</v>
      </c>
      <c r="K318" s="195">
        <v>45824.0</v>
      </c>
      <c r="L318" s="177" t="s">
        <v>118</v>
      </c>
      <c r="M318" s="205" t="s">
        <v>306</v>
      </c>
      <c r="N318" s="177">
        <v>51.0</v>
      </c>
      <c r="O318" s="183" t="s">
        <v>302</v>
      </c>
      <c r="P318" s="188"/>
      <c r="Q318" s="188"/>
    </row>
    <row r="319">
      <c r="A319" s="214">
        <v>445.0</v>
      </c>
      <c r="B319" s="190" t="s">
        <v>11</v>
      </c>
      <c r="C319" s="203"/>
      <c r="D319" s="202"/>
      <c r="E319" s="204"/>
      <c r="F319" s="183" t="s">
        <v>124</v>
      </c>
      <c r="G319" s="202" t="s">
        <v>129</v>
      </c>
      <c r="H319" s="193" t="s">
        <v>130</v>
      </c>
      <c r="I319" s="193" t="s">
        <v>142</v>
      </c>
      <c r="J319" s="177" t="s">
        <v>117</v>
      </c>
      <c r="K319" s="195">
        <v>45818.0</v>
      </c>
      <c r="L319" s="196"/>
      <c r="M319" s="205" t="s">
        <v>143</v>
      </c>
      <c r="N319" s="177">
        <v>15.0</v>
      </c>
      <c r="O319" s="183"/>
      <c r="P319" s="188"/>
      <c r="Q319" s="188"/>
    </row>
    <row r="320">
      <c r="A320" s="214">
        <v>445.0</v>
      </c>
      <c r="B320" s="190" t="s">
        <v>11</v>
      </c>
      <c r="C320" s="203"/>
      <c r="D320" s="202"/>
      <c r="E320" s="204"/>
      <c r="F320" s="183" t="s">
        <v>124</v>
      </c>
      <c r="G320" s="183" t="s">
        <v>125</v>
      </c>
      <c r="H320" s="193" t="s">
        <v>130</v>
      </c>
      <c r="I320" s="193" t="s">
        <v>144</v>
      </c>
      <c r="J320" s="177" t="s">
        <v>117</v>
      </c>
      <c r="K320" s="195">
        <v>45818.0</v>
      </c>
      <c r="L320" s="196"/>
      <c r="M320" s="205" t="s">
        <v>145</v>
      </c>
      <c r="N320" s="177">
        <v>5.0</v>
      </c>
      <c r="O320" s="183"/>
      <c r="P320" s="188"/>
      <c r="Q320" s="188"/>
    </row>
    <row r="321">
      <c r="A321" s="214">
        <v>445.0</v>
      </c>
      <c r="B321" s="190" t="s">
        <v>11</v>
      </c>
      <c r="C321" s="203"/>
      <c r="D321" s="202"/>
      <c r="E321" s="204"/>
      <c r="F321" s="183" t="s">
        <v>124</v>
      </c>
      <c r="G321" s="183" t="s">
        <v>125</v>
      </c>
      <c r="H321" s="193" t="s">
        <v>146</v>
      </c>
      <c r="I321" s="193" t="s">
        <v>147</v>
      </c>
      <c r="J321" s="177" t="s">
        <v>117</v>
      </c>
      <c r="K321" s="195">
        <v>45818.0</v>
      </c>
      <c r="L321" s="177" t="s">
        <v>118</v>
      </c>
      <c r="M321" s="205" t="s">
        <v>148</v>
      </c>
      <c r="N321" s="177">
        <v>8.0</v>
      </c>
      <c r="O321" s="183" t="s">
        <v>149</v>
      </c>
      <c r="P321" s="188"/>
      <c r="Q321" s="188"/>
    </row>
    <row r="322">
      <c r="A322" s="206">
        <v>445.0</v>
      </c>
      <c r="B322" s="179" t="s">
        <v>11</v>
      </c>
      <c r="C322" s="207">
        <v>45702.0</v>
      </c>
      <c r="D322" s="181" t="s">
        <v>307</v>
      </c>
      <c r="E322" s="199" t="s">
        <v>242</v>
      </c>
      <c r="F322" s="202" t="s">
        <v>116</v>
      </c>
      <c r="G322" s="209"/>
      <c r="H322" s="210"/>
      <c r="I322" s="193"/>
      <c r="J322" s="196"/>
      <c r="K322" s="195"/>
      <c r="L322" s="196"/>
      <c r="M322" s="205"/>
      <c r="N322" s="211"/>
      <c r="O322" s="183"/>
      <c r="P322" s="188"/>
      <c r="Q322" s="188"/>
    </row>
    <row r="323">
      <c r="A323" s="206">
        <v>446.0</v>
      </c>
      <c r="B323" s="179" t="s">
        <v>11</v>
      </c>
      <c r="C323" s="208"/>
      <c r="D323" s="181" t="s">
        <v>122</v>
      </c>
      <c r="E323" s="182" t="s">
        <v>123</v>
      </c>
      <c r="F323" s="183" t="s">
        <v>124</v>
      </c>
      <c r="G323" s="183" t="s">
        <v>125</v>
      </c>
      <c r="H323" s="185" t="s">
        <v>126</v>
      </c>
      <c r="I323" s="185" t="s">
        <v>127</v>
      </c>
      <c r="J323" s="177" t="s">
        <v>117</v>
      </c>
      <c r="K323" s="186">
        <v>45736.0</v>
      </c>
      <c r="L323" s="187"/>
      <c r="M323" s="183" t="s">
        <v>283</v>
      </c>
      <c r="N323" s="183">
        <v>11.0</v>
      </c>
      <c r="O323" s="188"/>
      <c r="P323" s="188"/>
      <c r="Q323" s="188"/>
    </row>
    <row r="324">
      <c r="A324" s="214">
        <v>446.0</v>
      </c>
      <c r="B324" s="190" t="s">
        <v>11</v>
      </c>
      <c r="C324" s="191"/>
      <c r="D324" s="192"/>
      <c r="E324" s="191"/>
      <c r="F324" s="183" t="s">
        <v>124</v>
      </c>
      <c r="G324" s="190" t="s">
        <v>129</v>
      </c>
      <c r="H324" s="193" t="s">
        <v>130</v>
      </c>
      <c r="I324" s="194" t="s">
        <v>131</v>
      </c>
      <c r="J324" s="177" t="s">
        <v>117</v>
      </c>
      <c r="K324" s="195">
        <v>45789.0</v>
      </c>
      <c r="L324" s="211"/>
      <c r="M324" s="188"/>
      <c r="N324" s="177">
        <v>25.0</v>
      </c>
      <c r="O324" s="183" t="s">
        <v>165</v>
      </c>
      <c r="P324" s="188"/>
      <c r="Q324" s="188"/>
    </row>
    <row r="325">
      <c r="A325" s="212">
        <v>446.0</v>
      </c>
      <c r="B325" s="198" t="s">
        <v>11</v>
      </c>
      <c r="C325" s="199"/>
      <c r="D325" s="200"/>
      <c r="E325" s="199"/>
      <c r="F325" s="183" t="s">
        <v>124</v>
      </c>
      <c r="G325" s="194" t="s">
        <v>133</v>
      </c>
      <c r="H325" s="93" t="s">
        <v>134</v>
      </c>
      <c r="I325" s="93" t="s">
        <v>135</v>
      </c>
      <c r="J325" s="177" t="s">
        <v>117</v>
      </c>
      <c r="K325" s="186">
        <v>45790.0</v>
      </c>
      <c r="L325" s="183" t="s">
        <v>118</v>
      </c>
      <c r="M325" s="183"/>
      <c r="N325" s="183">
        <v>75.0</v>
      </c>
      <c r="O325" s="183" t="s">
        <v>136</v>
      </c>
      <c r="P325" s="188"/>
      <c r="Q325" s="188"/>
    </row>
    <row r="326">
      <c r="A326" s="212">
        <v>446.0</v>
      </c>
      <c r="B326" s="198" t="s">
        <v>11</v>
      </c>
      <c r="C326" s="199"/>
      <c r="D326" s="200"/>
      <c r="E326" s="199"/>
      <c r="F326" s="202" t="s">
        <v>137</v>
      </c>
      <c r="G326" s="194" t="s">
        <v>129</v>
      </c>
      <c r="H326" s="93" t="s">
        <v>160</v>
      </c>
      <c r="I326" s="260" t="s">
        <v>308</v>
      </c>
      <c r="J326" s="177" t="s">
        <v>162</v>
      </c>
      <c r="K326" s="186"/>
      <c r="L326" s="187"/>
      <c r="M326" s="183"/>
      <c r="N326" s="213"/>
      <c r="O326" s="183"/>
      <c r="P326" s="188"/>
      <c r="Q326" s="188"/>
    </row>
    <row r="327">
      <c r="A327" s="203">
        <v>446.0</v>
      </c>
      <c r="B327" s="202" t="s">
        <v>11</v>
      </c>
      <c r="C327" s="203"/>
      <c r="D327" s="202"/>
      <c r="E327" s="204"/>
      <c r="F327" s="202" t="s">
        <v>137</v>
      </c>
      <c r="G327" s="202" t="s">
        <v>129</v>
      </c>
      <c r="H327" s="193" t="s">
        <v>138</v>
      </c>
      <c r="I327" s="193" t="s">
        <v>139</v>
      </c>
      <c r="J327" s="177" t="s">
        <v>162</v>
      </c>
      <c r="K327" s="195"/>
      <c r="L327" s="196"/>
      <c r="M327" s="205"/>
      <c r="N327" s="211"/>
      <c r="O327" s="183"/>
      <c r="P327" s="188"/>
      <c r="Q327" s="188"/>
    </row>
    <row r="328">
      <c r="A328" s="203">
        <v>446.0</v>
      </c>
      <c r="B328" s="202" t="s">
        <v>11</v>
      </c>
      <c r="C328" s="203"/>
      <c r="D328" s="202"/>
      <c r="E328" s="204"/>
      <c r="F328" s="202" t="s">
        <v>137</v>
      </c>
      <c r="G328" s="202" t="s">
        <v>129</v>
      </c>
      <c r="H328" s="220" t="s">
        <v>181</v>
      </c>
      <c r="I328" s="220" t="s">
        <v>88</v>
      </c>
      <c r="J328" s="177" t="s">
        <v>162</v>
      </c>
      <c r="K328" s="195"/>
      <c r="L328" s="196"/>
      <c r="M328" s="205"/>
      <c r="N328" s="211"/>
      <c r="O328" s="183"/>
      <c r="P328" s="188"/>
      <c r="Q328" s="188"/>
    </row>
    <row r="329">
      <c r="A329" s="214">
        <v>446.0</v>
      </c>
      <c r="B329" s="190" t="s">
        <v>11</v>
      </c>
      <c r="C329" s="203"/>
      <c r="D329" s="202"/>
      <c r="E329" s="204"/>
      <c r="F329" s="183" t="s">
        <v>124</v>
      </c>
      <c r="G329" s="202" t="s">
        <v>129</v>
      </c>
      <c r="H329" s="193" t="s">
        <v>130</v>
      </c>
      <c r="I329" s="193" t="s">
        <v>142</v>
      </c>
      <c r="J329" s="177" t="s">
        <v>117</v>
      </c>
      <c r="K329" s="195">
        <v>45818.0</v>
      </c>
      <c r="L329" s="196"/>
      <c r="M329" s="205" t="s">
        <v>143</v>
      </c>
      <c r="N329" s="177">
        <v>15.0</v>
      </c>
      <c r="O329" s="183"/>
      <c r="P329" s="188"/>
      <c r="Q329" s="188"/>
    </row>
    <row r="330">
      <c r="A330" s="214">
        <v>446.0</v>
      </c>
      <c r="B330" s="190" t="s">
        <v>11</v>
      </c>
      <c r="C330" s="203"/>
      <c r="D330" s="202"/>
      <c r="E330" s="204"/>
      <c r="F330" s="183" t="s">
        <v>124</v>
      </c>
      <c r="G330" s="183" t="s">
        <v>125</v>
      </c>
      <c r="H330" s="193" t="s">
        <v>130</v>
      </c>
      <c r="I330" s="193" t="s">
        <v>144</v>
      </c>
      <c r="J330" s="177" t="s">
        <v>117</v>
      </c>
      <c r="K330" s="195">
        <v>45818.0</v>
      </c>
      <c r="L330" s="196"/>
      <c r="M330" s="205" t="s">
        <v>145</v>
      </c>
      <c r="N330" s="177">
        <v>5.0</v>
      </c>
      <c r="O330" s="183"/>
      <c r="P330" s="188"/>
      <c r="Q330" s="188"/>
    </row>
    <row r="331">
      <c r="A331" s="214">
        <v>446.0</v>
      </c>
      <c r="B331" s="190" t="s">
        <v>11</v>
      </c>
      <c r="C331" s="203"/>
      <c r="D331" s="202"/>
      <c r="E331" s="204"/>
      <c r="F331" s="183" t="s">
        <v>124</v>
      </c>
      <c r="G331" s="183" t="s">
        <v>125</v>
      </c>
      <c r="H331" s="193" t="s">
        <v>146</v>
      </c>
      <c r="I331" s="193" t="s">
        <v>147</v>
      </c>
      <c r="J331" s="177" t="s">
        <v>117</v>
      </c>
      <c r="K331" s="195">
        <v>45818.0</v>
      </c>
      <c r="L331" s="177" t="s">
        <v>118</v>
      </c>
      <c r="M331" s="205" t="s">
        <v>148</v>
      </c>
      <c r="N331" s="177">
        <v>8.0</v>
      </c>
      <c r="O331" s="183" t="s">
        <v>149</v>
      </c>
      <c r="P331" s="188"/>
      <c r="Q331" s="188"/>
    </row>
    <row r="332">
      <c r="A332" s="206">
        <v>446.0</v>
      </c>
      <c r="B332" s="179" t="s">
        <v>11</v>
      </c>
      <c r="C332" s="207">
        <v>45702.0</v>
      </c>
      <c r="D332" s="181" t="s">
        <v>309</v>
      </c>
      <c r="E332" s="199" t="s">
        <v>242</v>
      </c>
      <c r="F332" s="202" t="s">
        <v>116</v>
      </c>
      <c r="G332" s="209"/>
      <c r="H332" s="210"/>
      <c r="I332" s="193"/>
      <c r="J332" s="196"/>
      <c r="K332" s="195"/>
      <c r="L332" s="196"/>
      <c r="M332" s="205"/>
      <c r="N332" s="211"/>
      <c r="O332" s="183"/>
      <c r="P332" s="188"/>
      <c r="Q332" s="188"/>
    </row>
    <row r="333">
      <c r="A333" s="206">
        <v>447.0</v>
      </c>
      <c r="B333" s="179" t="s">
        <v>11</v>
      </c>
      <c r="C333" s="208"/>
      <c r="D333" s="181" t="s">
        <v>122</v>
      </c>
      <c r="E333" s="182" t="s">
        <v>123</v>
      </c>
      <c r="F333" s="183" t="s">
        <v>124</v>
      </c>
      <c r="G333" s="183" t="s">
        <v>125</v>
      </c>
      <c r="H333" s="185" t="s">
        <v>126</v>
      </c>
      <c r="I333" s="185" t="s">
        <v>127</v>
      </c>
      <c r="J333" s="177" t="s">
        <v>117</v>
      </c>
      <c r="K333" s="186">
        <v>45736.0</v>
      </c>
      <c r="L333" s="187"/>
      <c r="M333" s="183" t="s">
        <v>243</v>
      </c>
      <c r="N333" s="183">
        <v>18.0</v>
      </c>
      <c r="O333" s="188"/>
      <c r="P333" s="188"/>
      <c r="Q333" s="188"/>
    </row>
    <row r="334">
      <c r="A334" s="217">
        <v>447.0</v>
      </c>
      <c r="B334" s="198" t="s">
        <v>11</v>
      </c>
      <c r="C334" s="199"/>
      <c r="D334" s="200"/>
      <c r="E334" s="198"/>
      <c r="F334" s="202" t="s">
        <v>137</v>
      </c>
      <c r="G334" s="183" t="s">
        <v>125</v>
      </c>
      <c r="H334" s="92" t="s">
        <v>126</v>
      </c>
      <c r="I334" s="92" t="s">
        <v>310</v>
      </c>
      <c r="J334" s="177" t="s">
        <v>117</v>
      </c>
      <c r="K334" s="186">
        <v>45756.0</v>
      </c>
      <c r="L334" s="183" t="s">
        <v>118</v>
      </c>
      <c r="M334" s="183" t="s">
        <v>311</v>
      </c>
      <c r="N334" s="183">
        <v>22.0</v>
      </c>
      <c r="O334" s="188"/>
      <c r="P334" s="188"/>
      <c r="Q334" s="188"/>
    </row>
    <row r="335">
      <c r="A335" s="214">
        <v>447.0</v>
      </c>
      <c r="B335" s="190" t="s">
        <v>11</v>
      </c>
      <c r="C335" s="191"/>
      <c r="D335" s="192"/>
      <c r="E335" s="191"/>
      <c r="F335" s="183" t="s">
        <v>124</v>
      </c>
      <c r="G335" s="190" t="s">
        <v>129</v>
      </c>
      <c r="H335" s="193" t="s">
        <v>130</v>
      </c>
      <c r="I335" s="194" t="s">
        <v>131</v>
      </c>
      <c r="J335" s="177" t="s">
        <v>117</v>
      </c>
      <c r="K335" s="195">
        <v>45789.0</v>
      </c>
      <c r="L335" s="211"/>
      <c r="M335" s="188"/>
      <c r="N335" s="177">
        <v>25.0</v>
      </c>
      <c r="O335" s="183" t="s">
        <v>165</v>
      </c>
      <c r="P335" s="188"/>
      <c r="Q335" s="188"/>
    </row>
    <row r="336">
      <c r="A336" s="212">
        <v>447.0</v>
      </c>
      <c r="B336" s="198" t="s">
        <v>11</v>
      </c>
      <c r="C336" s="199"/>
      <c r="D336" s="200"/>
      <c r="E336" s="199"/>
      <c r="F336" s="183" t="s">
        <v>124</v>
      </c>
      <c r="G336" s="194" t="s">
        <v>133</v>
      </c>
      <c r="H336" s="93" t="s">
        <v>134</v>
      </c>
      <c r="I336" s="93" t="s">
        <v>135</v>
      </c>
      <c r="J336" s="177" t="s">
        <v>117</v>
      </c>
      <c r="K336" s="186">
        <v>45790.0</v>
      </c>
      <c r="L336" s="183" t="s">
        <v>118</v>
      </c>
      <c r="M336" s="183"/>
      <c r="N336" s="183">
        <v>75.0</v>
      </c>
      <c r="O336" s="183" t="s">
        <v>136</v>
      </c>
      <c r="P336" s="188"/>
      <c r="Q336" s="188"/>
    </row>
    <row r="337">
      <c r="A337" s="203">
        <v>447.0</v>
      </c>
      <c r="B337" s="202" t="s">
        <v>11</v>
      </c>
      <c r="C337" s="203"/>
      <c r="D337" s="202"/>
      <c r="E337" s="204"/>
      <c r="F337" s="202" t="s">
        <v>137</v>
      </c>
      <c r="G337" s="202" t="s">
        <v>129</v>
      </c>
      <c r="H337" s="193" t="s">
        <v>138</v>
      </c>
      <c r="I337" s="193" t="s">
        <v>139</v>
      </c>
      <c r="J337" s="177" t="s">
        <v>117</v>
      </c>
      <c r="K337" s="195">
        <v>45796.0</v>
      </c>
      <c r="L337" s="177" t="s">
        <v>118</v>
      </c>
      <c r="M337" s="205" t="s">
        <v>140</v>
      </c>
      <c r="N337" s="177">
        <v>6.0</v>
      </c>
      <c r="O337" s="183" t="s">
        <v>141</v>
      </c>
      <c r="P337" s="188"/>
      <c r="Q337" s="188"/>
    </row>
    <row r="338">
      <c r="A338" s="214">
        <v>447.0</v>
      </c>
      <c r="B338" s="190" t="s">
        <v>11</v>
      </c>
      <c r="C338" s="214"/>
      <c r="D338" s="190"/>
      <c r="E338" s="191"/>
      <c r="F338" s="202" t="s">
        <v>137</v>
      </c>
      <c r="G338" s="190" t="s">
        <v>129</v>
      </c>
      <c r="H338" s="162" t="s">
        <v>182</v>
      </c>
      <c r="I338" s="164" t="s">
        <v>312</v>
      </c>
      <c r="J338" s="177" t="s">
        <v>117</v>
      </c>
      <c r="K338" s="195"/>
      <c r="L338" s="177" t="s">
        <v>118</v>
      </c>
      <c r="M338" s="205" t="s">
        <v>313</v>
      </c>
      <c r="N338" s="177">
        <v>11.0</v>
      </c>
      <c r="O338" s="183"/>
      <c r="P338" s="188"/>
      <c r="Q338" s="188"/>
    </row>
    <row r="339">
      <c r="A339" s="214">
        <v>447.0</v>
      </c>
      <c r="B339" s="190" t="s">
        <v>11</v>
      </c>
      <c r="C339" s="214"/>
      <c r="D339" s="190"/>
      <c r="E339" s="191"/>
      <c r="F339" s="202" t="s">
        <v>137</v>
      </c>
      <c r="G339" s="190" t="s">
        <v>129</v>
      </c>
      <c r="H339" s="164" t="s">
        <v>160</v>
      </c>
      <c r="I339" s="164" t="s">
        <v>314</v>
      </c>
      <c r="J339" s="177" t="s">
        <v>117</v>
      </c>
      <c r="K339" s="195">
        <v>45819.0</v>
      </c>
      <c r="L339" s="177" t="s">
        <v>118</v>
      </c>
      <c r="M339" s="205" t="s">
        <v>315</v>
      </c>
      <c r="N339" s="177">
        <v>15.0</v>
      </c>
      <c r="O339" s="183"/>
      <c r="P339" s="188"/>
      <c r="Q339" s="188"/>
    </row>
    <row r="340">
      <c r="A340" s="214">
        <v>447.0</v>
      </c>
      <c r="B340" s="190" t="s">
        <v>11</v>
      </c>
      <c r="C340" s="203"/>
      <c r="D340" s="202"/>
      <c r="E340" s="204"/>
      <c r="F340" s="183" t="s">
        <v>124</v>
      </c>
      <c r="G340" s="202" t="s">
        <v>129</v>
      </c>
      <c r="H340" s="193" t="s">
        <v>130</v>
      </c>
      <c r="I340" s="193" t="s">
        <v>142</v>
      </c>
      <c r="J340" s="177" t="s">
        <v>117</v>
      </c>
      <c r="K340" s="195">
        <v>45818.0</v>
      </c>
      <c r="L340" s="196"/>
      <c r="M340" s="205" t="s">
        <v>143</v>
      </c>
      <c r="N340" s="177">
        <v>15.0</v>
      </c>
      <c r="O340" s="183"/>
      <c r="P340" s="188"/>
      <c r="Q340" s="188"/>
    </row>
    <row r="341">
      <c r="A341" s="214">
        <v>447.0</v>
      </c>
      <c r="B341" s="190" t="s">
        <v>11</v>
      </c>
      <c r="C341" s="203"/>
      <c r="D341" s="202"/>
      <c r="E341" s="204"/>
      <c r="F341" s="183" t="s">
        <v>124</v>
      </c>
      <c r="G341" s="183" t="s">
        <v>125</v>
      </c>
      <c r="H341" s="193" t="s">
        <v>130</v>
      </c>
      <c r="I341" s="193" t="s">
        <v>144</v>
      </c>
      <c r="J341" s="177" t="s">
        <v>117</v>
      </c>
      <c r="K341" s="195">
        <v>45818.0</v>
      </c>
      <c r="L341" s="196"/>
      <c r="M341" s="205" t="s">
        <v>145</v>
      </c>
      <c r="N341" s="177">
        <v>5.0</v>
      </c>
      <c r="O341" s="183"/>
      <c r="P341" s="188"/>
      <c r="Q341" s="188"/>
    </row>
    <row r="342">
      <c r="A342" s="214">
        <v>447.0</v>
      </c>
      <c r="B342" s="190" t="s">
        <v>11</v>
      </c>
      <c r="C342" s="203"/>
      <c r="D342" s="202"/>
      <c r="E342" s="204"/>
      <c r="F342" s="183" t="s">
        <v>124</v>
      </c>
      <c r="G342" s="183" t="s">
        <v>125</v>
      </c>
      <c r="H342" s="193" t="s">
        <v>146</v>
      </c>
      <c r="I342" s="193" t="s">
        <v>147</v>
      </c>
      <c r="J342" s="177" t="s">
        <v>117</v>
      </c>
      <c r="K342" s="195">
        <v>45818.0</v>
      </c>
      <c r="L342" s="177" t="s">
        <v>118</v>
      </c>
      <c r="M342" s="205" t="s">
        <v>148</v>
      </c>
      <c r="N342" s="177">
        <v>8.0</v>
      </c>
      <c r="O342" s="183" t="s">
        <v>149</v>
      </c>
      <c r="P342" s="188"/>
      <c r="Q342" s="188"/>
    </row>
    <row r="343">
      <c r="A343" s="206">
        <v>447.0</v>
      </c>
      <c r="B343" s="179" t="s">
        <v>11</v>
      </c>
      <c r="C343" s="207">
        <v>45702.0</v>
      </c>
      <c r="D343" s="181" t="s">
        <v>316</v>
      </c>
      <c r="E343" s="199" t="s">
        <v>242</v>
      </c>
      <c r="F343" s="202" t="s">
        <v>116</v>
      </c>
      <c r="G343" s="209"/>
      <c r="H343" s="210"/>
      <c r="I343" s="193"/>
      <c r="J343" s="196"/>
      <c r="K343" s="195"/>
      <c r="L343" s="196"/>
      <c r="M343" s="205"/>
      <c r="N343" s="211"/>
      <c r="O343" s="183"/>
      <c r="P343" s="188"/>
      <c r="Q343" s="188"/>
    </row>
    <row r="344">
      <c r="A344" s="206">
        <v>448.0</v>
      </c>
      <c r="B344" s="179" t="s">
        <v>11</v>
      </c>
      <c r="C344" s="208"/>
      <c r="D344" s="181" t="s">
        <v>122</v>
      </c>
      <c r="E344" s="182" t="s">
        <v>123</v>
      </c>
      <c r="F344" s="183" t="s">
        <v>124</v>
      </c>
      <c r="G344" s="183" t="s">
        <v>125</v>
      </c>
      <c r="H344" s="185" t="s">
        <v>126</v>
      </c>
      <c r="I344" s="185" t="s">
        <v>127</v>
      </c>
      <c r="J344" s="177" t="s">
        <v>117</v>
      </c>
      <c r="K344" s="186">
        <v>45736.0</v>
      </c>
      <c r="L344" s="187"/>
      <c r="M344" s="183" t="s">
        <v>208</v>
      </c>
      <c r="N344" s="183">
        <v>13.0</v>
      </c>
      <c r="O344" s="188"/>
      <c r="P344" s="188"/>
      <c r="Q344" s="188"/>
    </row>
    <row r="345">
      <c r="A345" s="217">
        <v>448.0</v>
      </c>
      <c r="B345" s="198" t="s">
        <v>11</v>
      </c>
      <c r="C345" s="199"/>
      <c r="D345" s="200"/>
      <c r="E345" s="199"/>
      <c r="F345" s="202" t="s">
        <v>137</v>
      </c>
      <c r="G345" s="93" t="s">
        <v>194</v>
      </c>
      <c r="H345" s="92" t="s">
        <v>195</v>
      </c>
      <c r="I345" s="92" t="s">
        <v>317</v>
      </c>
      <c r="J345" s="177" t="s">
        <v>117</v>
      </c>
      <c r="K345" s="186">
        <v>45756.0</v>
      </c>
      <c r="L345" s="187"/>
      <c r="M345" s="183" t="s">
        <v>318</v>
      </c>
      <c r="N345" s="183">
        <v>18.0</v>
      </c>
      <c r="O345" s="183" t="s">
        <v>198</v>
      </c>
      <c r="P345" s="188"/>
      <c r="Q345" s="188"/>
    </row>
    <row r="346">
      <c r="A346" s="214">
        <v>448.0</v>
      </c>
      <c r="B346" s="190" t="s">
        <v>11</v>
      </c>
      <c r="C346" s="191"/>
      <c r="D346" s="192"/>
      <c r="E346" s="191"/>
      <c r="F346" s="183" t="s">
        <v>124</v>
      </c>
      <c r="G346" s="190" t="s">
        <v>129</v>
      </c>
      <c r="H346" s="193" t="s">
        <v>130</v>
      </c>
      <c r="I346" s="194" t="s">
        <v>131</v>
      </c>
      <c r="J346" s="177" t="s">
        <v>117</v>
      </c>
      <c r="K346" s="195">
        <v>45789.0</v>
      </c>
      <c r="L346" s="211"/>
      <c r="M346" s="188"/>
      <c r="N346" s="177">
        <v>25.0</v>
      </c>
      <c r="O346" s="183" t="s">
        <v>165</v>
      </c>
      <c r="P346" s="188"/>
      <c r="Q346" s="188"/>
    </row>
    <row r="347">
      <c r="A347" s="212">
        <v>448.0</v>
      </c>
      <c r="B347" s="198" t="s">
        <v>11</v>
      </c>
      <c r="C347" s="199"/>
      <c r="D347" s="200"/>
      <c r="E347" s="199"/>
      <c r="F347" s="183" t="s">
        <v>124</v>
      </c>
      <c r="G347" s="194" t="s">
        <v>133</v>
      </c>
      <c r="H347" s="93" t="s">
        <v>134</v>
      </c>
      <c r="I347" s="93" t="s">
        <v>135</v>
      </c>
      <c r="J347" s="177" t="s">
        <v>117</v>
      </c>
      <c r="K347" s="186">
        <v>45790.0</v>
      </c>
      <c r="L347" s="187"/>
      <c r="M347" s="183"/>
      <c r="N347" s="183">
        <v>75.0</v>
      </c>
      <c r="O347" s="183" t="s">
        <v>136</v>
      </c>
      <c r="P347" s="188"/>
      <c r="Q347" s="188"/>
    </row>
    <row r="348">
      <c r="A348" s="203">
        <v>448.0</v>
      </c>
      <c r="B348" s="202" t="s">
        <v>11</v>
      </c>
      <c r="C348" s="203"/>
      <c r="D348" s="202"/>
      <c r="E348" s="204"/>
      <c r="F348" s="202" t="s">
        <v>137</v>
      </c>
      <c r="G348" s="202" t="s">
        <v>129</v>
      </c>
      <c r="H348" s="193" t="s">
        <v>138</v>
      </c>
      <c r="I348" s="193" t="s">
        <v>139</v>
      </c>
      <c r="J348" s="177" t="s">
        <v>117</v>
      </c>
      <c r="K348" s="195">
        <v>45796.0</v>
      </c>
      <c r="L348" s="177" t="s">
        <v>118</v>
      </c>
      <c r="M348" s="205" t="s">
        <v>140</v>
      </c>
      <c r="N348" s="177">
        <v>6.0</v>
      </c>
      <c r="O348" s="183" t="s">
        <v>141</v>
      </c>
      <c r="P348" s="188"/>
      <c r="Q348" s="188"/>
    </row>
    <row r="349">
      <c r="A349" s="214">
        <v>448.0</v>
      </c>
      <c r="B349" s="190" t="s">
        <v>11</v>
      </c>
      <c r="C349" s="214"/>
      <c r="D349" s="190"/>
      <c r="E349" s="191"/>
      <c r="F349" s="202" t="s">
        <v>137</v>
      </c>
      <c r="G349" s="190" t="s">
        <v>129</v>
      </c>
      <c r="H349" s="193" t="s">
        <v>134</v>
      </c>
      <c r="I349" s="122" t="s">
        <v>319</v>
      </c>
      <c r="J349" s="177" t="s">
        <v>117</v>
      </c>
      <c r="K349" s="195">
        <v>45805.0</v>
      </c>
      <c r="L349" s="177" t="s">
        <v>118</v>
      </c>
      <c r="M349" s="205" t="s">
        <v>320</v>
      </c>
      <c r="N349" s="177">
        <v>5.0</v>
      </c>
      <c r="O349" s="183"/>
      <c r="P349" s="188"/>
      <c r="Q349" s="188"/>
    </row>
    <row r="350">
      <c r="A350" s="214">
        <v>448.0</v>
      </c>
      <c r="B350" s="190" t="s">
        <v>11</v>
      </c>
      <c r="C350" s="203"/>
      <c r="D350" s="202"/>
      <c r="E350" s="204"/>
      <c r="F350" s="183" t="s">
        <v>124</v>
      </c>
      <c r="G350" s="202" t="s">
        <v>129</v>
      </c>
      <c r="H350" s="193" t="s">
        <v>130</v>
      </c>
      <c r="I350" s="193" t="s">
        <v>142</v>
      </c>
      <c r="J350" s="177" t="s">
        <v>117</v>
      </c>
      <c r="K350" s="195">
        <v>45818.0</v>
      </c>
      <c r="L350" s="196"/>
      <c r="M350" s="205" t="s">
        <v>143</v>
      </c>
      <c r="N350" s="177">
        <v>15.0</v>
      </c>
      <c r="O350" s="183"/>
      <c r="P350" s="188"/>
      <c r="Q350" s="188"/>
    </row>
    <row r="351">
      <c r="A351" s="214">
        <v>448.0</v>
      </c>
      <c r="B351" s="190" t="s">
        <v>11</v>
      </c>
      <c r="C351" s="203"/>
      <c r="D351" s="202"/>
      <c r="E351" s="204"/>
      <c r="F351" s="183" t="s">
        <v>124</v>
      </c>
      <c r="G351" s="183" t="s">
        <v>125</v>
      </c>
      <c r="H351" s="193" t="s">
        <v>130</v>
      </c>
      <c r="I351" s="193" t="s">
        <v>144</v>
      </c>
      <c r="J351" s="177" t="s">
        <v>117</v>
      </c>
      <c r="K351" s="195">
        <v>45818.0</v>
      </c>
      <c r="L351" s="196"/>
      <c r="M351" s="205" t="s">
        <v>145</v>
      </c>
      <c r="N351" s="177">
        <v>5.0</v>
      </c>
      <c r="O351" s="183"/>
      <c r="P351" s="188"/>
      <c r="Q351" s="188"/>
    </row>
    <row r="352">
      <c r="A352" s="214">
        <v>448.0</v>
      </c>
      <c r="B352" s="190" t="s">
        <v>11</v>
      </c>
      <c r="C352" s="203"/>
      <c r="D352" s="202"/>
      <c r="E352" s="204"/>
      <c r="F352" s="183" t="s">
        <v>124</v>
      </c>
      <c r="G352" s="183" t="s">
        <v>125</v>
      </c>
      <c r="H352" s="193" t="s">
        <v>146</v>
      </c>
      <c r="I352" s="193" t="s">
        <v>147</v>
      </c>
      <c r="J352" s="177" t="s">
        <v>117</v>
      </c>
      <c r="K352" s="195">
        <v>45818.0</v>
      </c>
      <c r="L352" s="177" t="s">
        <v>118</v>
      </c>
      <c r="M352" s="205" t="s">
        <v>148</v>
      </c>
      <c r="N352" s="177">
        <v>8.0</v>
      </c>
      <c r="O352" s="183" t="s">
        <v>149</v>
      </c>
      <c r="P352" s="188"/>
      <c r="Q352" s="188"/>
    </row>
    <row r="353">
      <c r="A353" s="206">
        <v>448.0</v>
      </c>
      <c r="B353" s="179" t="s">
        <v>11</v>
      </c>
      <c r="C353" s="207">
        <v>45702.0</v>
      </c>
      <c r="D353" s="181" t="s">
        <v>321</v>
      </c>
      <c r="E353" s="199" t="s">
        <v>242</v>
      </c>
      <c r="F353" s="202" t="s">
        <v>116</v>
      </c>
      <c r="G353" s="209"/>
      <c r="H353" s="210"/>
      <c r="I353" s="193"/>
      <c r="J353" s="196"/>
      <c r="K353" s="195"/>
      <c r="L353" s="196"/>
      <c r="M353" s="205"/>
      <c r="N353" s="211"/>
      <c r="O353" s="183"/>
      <c r="P353" s="188"/>
      <c r="Q353" s="188"/>
    </row>
    <row r="354">
      <c r="A354" s="214">
        <v>459.0</v>
      </c>
      <c r="B354" s="190" t="s">
        <v>11</v>
      </c>
      <c r="C354" s="214"/>
      <c r="D354" s="190"/>
      <c r="E354" s="191"/>
      <c r="F354" s="183" t="s">
        <v>124</v>
      </c>
      <c r="G354" s="190" t="s">
        <v>129</v>
      </c>
      <c r="H354" s="193" t="s">
        <v>130</v>
      </c>
      <c r="I354" s="194" t="s">
        <v>131</v>
      </c>
      <c r="J354" s="177" t="s">
        <v>117</v>
      </c>
      <c r="K354" s="195">
        <v>45789.0</v>
      </c>
      <c r="L354" s="211"/>
      <c r="M354" s="188"/>
      <c r="N354" s="177">
        <v>25.0</v>
      </c>
      <c r="O354" s="183" t="s">
        <v>165</v>
      </c>
      <c r="P354" s="188"/>
      <c r="Q354" s="188"/>
    </row>
    <row r="355">
      <c r="A355" s="212">
        <v>459.0</v>
      </c>
      <c r="B355" s="198" t="s">
        <v>11</v>
      </c>
      <c r="C355" s="199"/>
      <c r="D355" s="200"/>
      <c r="E355" s="199"/>
      <c r="F355" s="183" t="s">
        <v>124</v>
      </c>
      <c r="G355" s="194" t="s">
        <v>133</v>
      </c>
      <c r="H355" s="93" t="s">
        <v>134</v>
      </c>
      <c r="I355" s="93" t="s">
        <v>135</v>
      </c>
      <c r="J355" s="177" t="s">
        <v>117</v>
      </c>
      <c r="K355" s="186">
        <v>45790.0</v>
      </c>
      <c r="L355" s="187"/>
      <c r="M355" s="183"/>
      <c r="N355" s="183">
        <v>75.0</v>
      </c>
      <c r="O355" s="183" t="s">
        <v>136</v>
      </c>
      <c r="P355" s="188"/>
      <c r="Q355" s="188"/>
    </row>
    <row r="356">
      <c r="A356" s="203">
        <v>459.0</v>
      </c>
      <c r="B356" s="202" t="s">
        <v>11</v>
      </c>
      <c r="C356" s="203"/>
      <c r="D356" s="202"/>
      <c r="E356" s="204"/>
      <c r="F356" s="202" t="s">
        <v>137</v>
      </c>
      <c r="G356" s="202" t="s">
        <v>129</v>
      </c>
      <c r="H356" s="193" t="s">
        <v>138</v>
      </c>
      <c r="I356" s="193" t="s">
        <v>139</v>
      </c>
      <c r="J356" s="177" t="s">
        <v>117</v>
      </c>
      <c r="K356" s="195">
        <v>45796.0</v>
      </c>
      <c r="L356" s="177" t="s">
        <v>118</v>
      </c>
      <c r="M356" s="205" t="s">
        <v>140</v>
      </c>
      <c r="N356" s="177">
        <v>6.0</v>
      </c>
      <c r="O356" s="183" t="s">
        <v>141</v>
      </c>
      <c r="P356" s="188"/>
      <c r="Q356" s="188"/>
    </row>
    <row r="357">
      <c r="A357" s="214">
        <v>459.0</v>
      </c>
      <c r="B357" s="190" t="s">
        <v>11</v>
      </c>
      <c r="C357" s="214"/>
      <c r="D357" s="190"/>
      <c r="E357" s="191"/>
      <c r="F357" s="202" t="s">
        <v>137</v>
      </c>
      <c r="G357" s="183" t="s">
        <v>125</v>
      </c>
      <c r="H357" s="193" t="s">
        <v>134</v>
      </c>
      <c r="I357" s="194" t="s">
        <v>322</v>
      </c>
      <c r="J357" s="177" t="s">
        <v>162</v>
      </c>
      <c r="K357" s="195"/>
      <c r="L357" s="196"/>
      <c r="M357" s="205"/>
      <c r="N357" s="177"/>
      <c r="O357" s="183"/>
      <c r="P357" s="188"/>
      <c r="Q357" s="188"/>
    </row>
    <row r="358">
      <c r="A358" s="214">
        <v>459.0</v>
      </c>
      <c r="B358" s="190" t="s">
        <v>11</v>
      </c>
      <c r="C358" s="214"/>
      <c r="D358" s="190"/>
      <c r="E358" s="191"/>
      <c r="F358" s="202" t="s">
        <v>137</v>
      </c>
      <c r="G358" s="183" t="s">
        <v>125</v>
      </c>
      <c r="H358" s="193" t="s">
        <v>146</v>
      </c>
      <c r="I358" s="220" t="s">
        <v>91</v>
      </c>
      <c r="J358" s="177" t="s">
        <v>162</v>
      </c>
      <c r="K358" s="195"/>
      <c r="L358" s="196"/>
      <c r="M358" s="205"/>
      <c r="N358" s="177"/>
      <c r="O358" s="183"/>
      <c r="P358" s="188"/>
      <c r="Q358" s="188"/>
    </row>
    <row r="359">
      <c r="A359" s="214">
        <v>459.0</v>
      </c>
      <c r="B359" s="190" t="s">
        <v>11</v>
      </c>
      <c r="C359" s="203"/>
      <c r="D359" s="202"/>
      <c r="E359" s="204"/>
      <c r="F359" s="183" t="s">
        <v>124</v>
      </c>
      <c r="G359" s="202" t="s">
        <v>129</v>
      </c>
      <c r="H359" s="193" t="s">
        <v>130</v>
      </c>
      <c r="I359" s="193" t="s">
        <v>142</v>
      </c>
      <c r="J359" s="177" t="s">
        <v>117</v>
      </c>
      <c r="K359" s="195">
        <v>45818.0</v>
      </c>
      <c r="L359" s="196"/>
      <c r="M359" s="205" t="s">
        <v>143</v>
      </c>
      <c r="N359" s="177">
        <v>15.0</v>
      </c>
      <c r="O359" s="183"/>
      <c r="P359" s="188"/>
      <c r="Q359" s="188"/>
    </row>
    <row r="360">
      <c r="A360" s="214">
        <v>459.0</v>
      </c>
      <c r="B360" s="190" t="s">
        <v>11</v>
      </c>
      <c r="C360" s="203"/>
      <c r="D360" s="202"/>
      <c r="E360" s="204"/>
      <c r="F360" s="183" t="s">
        <v>124</v>
      </c>
      <c r="G360" s="183" t="s">
        <v>125</v>
      </c>
      <c r="H360" s="193" t="s">
        <v>130</v>
      </c>
      <c r="I360" s="193" t="s">
        <v>144</v>
      </c>
      <c r="J360" s="177" t="s">
        <v>117</v>
      </c>
      <c r="K360" s="195">
        <v>45818.0</v>
      </c>
      <c r="L360" s="196"/>
      <c r="M360" s="205" t="s">
        <v>145</v>
      </c>
      <c r="N360" s="177">
        <v>5.0</v>
      </c>
      <c r="O360" s="183"/>
      <c r="P360" s="188"/>
      <c r="Q360" s="188"/>
    </row>
    <row r="361">
      <c r="A361" s="214">
        <v>459.0</v>
      </c>
      <c r="B361" s="190" t="s">
        <v>11</v>
      </c>
      <c r="C361" s="203"/>
      <c r="D361" s="202"/>
      <c r="E361" s="204"/>
      <c r="F361" s="183" t="s">
        <v>124</v>
      </c>
      <c r="G361" s="183" t="s">
        <v>125</v>
      </c>
      <c r="H361" s="193" t="s">
        <v>146</v>
      </c>
      <c r="I361" s="193" t="s">
        <v>147</v>
      </c>
      <c r="J361" s="177" t="s">
        <v>117</v>
      </c>
      <c r="K361" s="195">
        <v>45818.0</v>
      </c>
      <c r="L361" s="177" t="s">
        <v>118</v>
      </c>
      <c r="M361" s="205" t="s">
        <v>148</v>
      </c>
      <c r="N361" s="177">
        <v>8.0</v>
      </c>
      <c r="O361" s="183" t="s">
        <v>149</v>
      </c>
      <c r="P361" s="188"/>
      <c r="Q361" s="188"/>
    </row>
    <row r="362">
      <c r="A362" s="217">
        <v>459.0</v>
      </c>
      <c r="B362" s="179" t="s">
        <v>11</v>
      </c>
      <c r="C362" s="261">
        <v>45777.0</v>
      </c>
      <c r="D362" s="200" t="s">
        <v>122</v>
      </c>
      <c r="E362" s="199" t="s">
        <v>242</v>
      </c>
      <c r="F362" s="202" t="s">
        <v>116</v>
      </c>
      <c r="G362" s="245"/>
      <c r="H362" s="166"/>
      <c r="I362" s="93"/>
      <c r="J362" s="196"/>
      <c r="K362" s="186"/>
      <c r="L362" s="187"/>
      <c r="M362" s="183"/>
      <c r="N362" s="213"/>
      <c r="O362" s="188"/>
      <c r="P362" s="188"/>
      <c r="Q362" s="188"/>
    </row>
    <row r="363">
      <c r="A363" s="214">
        <v>461.0</v>
      </c>
      <c r="B363" s="190" t="s">
        <v>11</v>
      </c>
      <c r="C363" s="214"/>
      <c r="D363" s="190"/>
      <c r="E363" s="191"/>
      <c r="F363" s="183" t="s">
        <v>124</v>
      </c>
      <c r="G363" s="190" t="s">
        <v>129</v>
      </c>
      <c r="H363" s="193" t="s">
        <v>130</v>
      </c>
      <c r="I363" s="194" t="s">
        <v>131</v>
      </c>
      <c r="J363" s="177" t="s">
        <v>117</v>
      </c>
      <c r="K363" s="195">
        <v>45789.0</v>
      </c>
      <c r="L363" s="211"/>
      <c r="M363" s="188"/>
      <c r="N363" s="177">
        <v>25.0</v>
      </c>
      <c r="O363" s="183" t="s">
        <v>165</v>
      </c>
      <c r="P363" s="188"/>
      <c r="Q363" s="188"/>
    </row>
    <row r="364">
      <c r="A364" s="212">
        <v>461.0</v>
      </c>
      <c r="B364" s="198" t="s">
        <v>11</v>
      </c>
      <c r="C364" s="199"/>
      <c r="D364" s="200"/>
      <c r="E364" s="199"/>
      <c r="F364" s="183" t="s">
        <v>124</v>
      </c>
      <c r="G364" s="194" t="s">
        <v>133</v>
      </c>
      <c r="H364" s="93" t="s">
        <v>134</v>
      </c>
      <c r="I364" s="93" t="s">
        <v>135</v>
      </c>
      <c r="J364" s="177" t="s">
        <v>117</v>
      </c>
      <c r="K364" s="186">
        <v>45790.0</v>
      </c>
      <c r="L364" s="183" t="s">
        <v>118</v>
      </c>
      <c r="M364" s="183"/>
      <c r="N364" s="183">
        <v>75.0</v>
      </c>
      <c r="O364" s="183" t="s">
        <v>136</v>
      </c>
      <c r="P364" s="188">
        <f>2650/60</f>
        <v>44.16666667</v>
      </c>
      <c r="Q364" s="188"/>
    </row>
    <row r="365">
      <c r="A365" s="203">
        <v>461.0</v>
      </c>
      <c r="B365" s="202" t="s">
        <v>11</v>
      </c>
      <c r="C365" s="203"/>
      <c r="D365" s="202"/>
      <c r="E365" s="204"/>
      <c r="F365" s="202" t="s">
        <v>137</v>
      </c>
      <c r="G365" s="202" t="s">
        <v>129</v>
      </c>
      <c r="H365" s="193" t="s">
        <v>138</v>
      </c>
      <c r="I365" s="193" t="s">
        <v>139</v>
      </c>
      <c r="J365" s="177" t="s">
        <v>162</v>
      </c>
      <c r="K365" s="195"/>
      <c r="L365" s="196"/>
      <c r="M365" s="205"/>
      <c r="N365" s="211"/>
      <c r="O365" s="183"/>
      <c r="P365" s="188"/>
      <c r="Q365" s="188"/>
    </row>
    <row r="366">
      <c r="A366" s="203">
        <v>461.0</v>
      </c>
      <c r="B366" s="202" t="s">
        <v>11</v>
      </c>
      <c r="C366" s="203"/>
      <c r="D366" s="202"/>
      <c r="E366" s="204"/>
      <c r="F366" s="202" t="s">
        <v>137</v>
      </c>
      <c r="G366" s="183" t="s">
        <v>125</v>
      </c>
      <c r="H366" s="193" t="s">
        <v>146</v>
      </c>
      <c r="I366" s="220" t="s">
        <v>91</v>
      </c>
      <c r="J366" s="177" t="s">
        <v>162</v>
      </c>
      <c r="K366" s="195"/>
      <c r="L366" s="196"/>
      <c r="M366" s="205"/>
      <c r="N366" s="211"/>
      <c r="O366" s="183"/>
      <c r="P366" s="188"/>
      <c r="Q366" s="188"/>
    </row>
    <row r="367">
      <c r="A367" s="214">
        <v>461.0</v>
      </c>
      <c r="B367" s="190" t="s">
        <v>11</v>
      </c>
      <c r="C367" s="203"/>
      <c r="D367" s="202"/>
      <c r="E367" s="204"/>
      <c r="F367" s="183" t="s">
        <v>124</v>
      </c>
      <c r="G367" s="202" t="s">
        <v>129</v>
      </c>
      <c r="H367" s="193" t="s">
        <v>130</v>
      </c>
      <c r="I367" s="193" t="s">
        <v>142</v>
      </c>
      <c r="J367" s="177" t="s">
        <v>117</v>
      </c>
      <c r="K367" s="195">
        <v>45818.0</v>
      </c>
      <c r="L367" s="196"/>
      <c r="M367" s="205" t="s">
        <v>143</v>
      </c>
      <c r="N367" s="177">
        <v>15.0</v>
      </c>
      <c r="O367" s="183"/>
      <c r="P367" s="188"/>
      <c r="Q367" s="188"/>
    </row>
    <row r="368">
      <c r="A368" s="214">
        <v>461.0</v>
      </c>
      <c r="B368" s="190" t="s">
        <v>11</v>
      </c>
      <c r="C368" s="203"/>
      <c r="D368" s="202"/>
      <c r="E368" s="204"/>
      <c r="F368" s="183" t="s">
        <v>124</v>
      </c>
      <c r="G368" s="183" t="s">
        <v>125</v>
      </c>
      <c r="H368" s="193" t="s">
        <v>130</v>
      </c>
      <c r="I368" s="193" t="s">
        <v>144</v>
      </c>
      <c r="J368" s="177" t="s">
        <v>117</v>
      </c>
      <c r="K368" s="195">
        <v>45818.0</v>
      </c>
      <c r="L368" s="196"/>
      <c r="M368" s="205" t="s">
        <v>145</v>
      </c>
      <c r="N368" s="177">
        <v>5.0</v>
      </c>
      <c r="O368" s="183"/>
      <c r="P368" s="188"/>
      <c r="Q368" s="188"/>
    </row>
    <row r="369">
      <c r="A369" s="214">
        <v>461.0</v>
      </c>
      <c r="B369" s="190" t="s">
        <v>11</v>
      </c>
      <c r="C369" s="203"/>
      <c r="D369" s="202"/>
      <c r="E369" s="204"/>
      <c r="F369" s="183" t="s">
        <v>124</v>
      </c>
      <c r="G369" s="183" t="s">
        <v>125</v>
      </c>
      <c r="H369" s="193" t="s">
        <v>146</v>
      </c>
      <c r="I369" s="193" t="s">
        <v>147</v>
      </c>
      <c r="J369" s="177" t="s">
        <v>117</v>
      </c>
      <c r="K369" s="195">
        <v>45818.0</v>
      </c>
      <c r="L369" s="177" t="s">
        <v>118</v>
      </c>
      <c r="M369" s="205" t="s">
        <v>148</v>
      </c>
      <c r="N369" s="177">
        <v>8.0</v>
      </c>
      <c r="O369" s="183" t="s">
        <v>149</v>
      </c>
      <c r="P369" s="188"/>
      <c r="Q369" s="188"/>
    </row>
    <row r="370">
      <c r="A370" s="212">
        <v>461.0</v>
      </c>
      <c r="B370" s="179" t="s">
        <v>11</v>
      </c>
      <c r="C370" s="261">
        <v>45777.0</v>
      </c>
      <c r="D370" s="200" t="s">
        <v>122</v>
      </c>
      <c r="E370" s="199" t="s">
        <v>242</v>
      </c>
      <c r="F370" s="202" t="s">
        <v>116</v>
      </c>
      <c r="G370" s="245"/>
      <c r="H370" s="166"/>
      <c r="I370" s="93"/>
      <c r="J370" s="196"/>
      <c r="K370" s="186"/>
      <c r="L370" s="187"/>
      <c r="M370" s="183"/>
      <c r="N370" s="213"/>
      <c r="O370" s="188"/>
      <c r="P370" s="188"/>
      <c r="Q370" s="188"/>
    </row>
    <row r="371">
      <c r="A371" s="214">
        <v>462.0</v>
      </c>
      <c r="B371" s="190" t="s">
        <v>11</v>
      </c>
      <c r="C371" s="214"/>
      <c r="D371" s="190"/>
      <c r="E371" s="191"/>
      <c r="F371" s="183" t="s">
        <v>124</v>
      </c>
      <c r="G371" s="190" t="s">
        <v>129</v>
      </c>
      <c r="H371" s="193" t="s">
        <v>130</v>
      </c>
      <c r="I371" s="194" t="s">
        <v>131</v>
      </c>
      <c r="J371" s="177" t="s">
        <v>117</v>
      </c>
      <c r="K371" s="195">
        <v>45789.0</v>
      </c>
      <c r="L371" s="196"/>
      <c r="M371" s="205" t="s">
        <v>330</v>
      </c>
      <c r="N371" s="177">
        <v>25.0</v>
      </c>
      <c r="O371" s="183" t="s">
        <v>165</v>
      </c>
      <c r="P371" s="188"/>
      <c r="Q371" s="188"/>
    </row>
    <row r="372">
      <c r="A372" s="212">
        <v>462.0</v>
      </c>
      <c r="B372" s="198" t="s">
        <v>11</v>
      </c>
      <c r="C372" s="199"/>
      <c r="D372" s="200"/>
      <c r="E372" s="199"/>
      <c r="F372" s="183" t="s">
        <v>124</v>
      </c>
      <c r="G372" s="194" t="s">
        <v>133</v>
      </c>
      <c r="H372" s="93" t="s">
        <v>134</v>
      </c>
      <c r="I372" s="93" t="s">
        <v>135</v>
      </c>
      <c r="J372" s="177" t="s">
        <v>117</v>
      </c>
      <c r="K372" s="186">
        <v>45790.0</v>
      </c>
      <c r="L372" s="183" t="s">
        <v>118</v>
      </c>
      <c r="M372" s="183"/>
      <c r="N372" s="183">
        <v>75.0</v>
      </c>
      <c r="O372" s="183" t="s">
        <v>136</v>
      </c>
      <c r="P372" s="188"/>
      <c r="Q372" s="188"/>
    </row>
    <row r="373">
      <c r="A373" s="203">
        <v>462.0</v>
      </c>
      <c r="B373" s="202" t="s">
        <v>11</v>
      </c>
      <c r="C373" s="203"/>
      <c r="D373" s="202"/>
      <c r="E373" s="204"/>
      <c r="F373" s="202" t="s">
        <v>137</v>
      </c>
      <c r="G373" s="202" t="s">
        <v>129</v>
      </c>
      <c r="H373" s="193" t="s">
        <v>138</v>
      </c>
      <c r="I373" s="193" t="s">
        <v>139</v>
      </c>
      <c r="J373" s="177" t="s">
        <v>162</v>
      </c>
      <c r="K373" s="195"/>
      <c r="L373" s="196"/>
      <c r="M373" s="205"/>
      <c r="N373" s="211"/>
      <c r="O373" s="183"/>
      <c r="P373" s="188"/>
      <c r="Q373" s="188"/>
    </row>
    <row r="374">
      <c r="A374" s="214">
        <v>462.0</v>
      </c>
      <c r="B374" s="190" t="s">
        <v>11</v>
      </c>
      <c r="C374" s="203"/>
      <c r="D374" s="202"/>
      <c r="E374" s="204"/>
      <c r="F374" s="183" t="s">
        <v>124</v>
      </c>
      <c r="G374" s="202" t="s">
        <v>129</v>
      </c>
      <c r="H374" s="193" t="s">
        <v>130</v>
      </c>
      <c r="I374" s="193" t="s">
        <v>142</v>
      </c>
      <c r="J374" s="177" t="s">
        <v>117</v>
      </c>
      <c r="K374" s="195">
        <v>45818.0</v>
      </c>
      <c r="L374" s="196"/>
      <c r="M374" s="205" t="s">
        <v>143</v>
      </c>
      <c r="N374" s="177">
        <v>15.0</v>
      </c>
      <c r="O374" s="183"/>
      <c r="P374" s="188"/>
      <c r="Q374" s="188"/>
    </row>
    <row r="375">
      <c r="A375" s="214">
        <v>462.0</v>
      </c>
      <c r="B375" s="190" t="s">
        <v>11</v>
      </c>
      <c r="C375" s="203"/>
      <c r="D375" s="202"/>
      <c r="E375" s="204"/>
      <c r="F375" s="183" t="s">
        <v>124</v>
      </c>
      <c r="G375" s="183" t="s">
        <v>125</v>
      </c>
      <c r="H375" s="193" t="s">
        <v>130</v>
      </c>
      <c r="I375" s="193" t="s">
        <v>144</v>
      </c>
      <c r="J375" s="177" t="s">
        <v>117</v>
      </c>
      <c r="K375" s="195">
        <v>45818.0</v>
      </c>
      <c r="L375" s="196"/>
      <c r="M375" s="205" t="s">
        <v>145</v>
      </c>
      <c r="N375" s="177">
        <v>5.0</v>
      </c>
      <c r="O375" s="183"/>
      <c r="P375" s="188"/>
      <c r="Q375" s="188"/>
    </row>
    <row r="376">
      <c r="A376" s="214">
        <v>462.0</v>
      </c>
      <c r="B376" s="190" t="s">
        <v>11</v>
      </c>
      <c r="C376" s="203"/>
      <c r="D376" s="202"/>
      <c r="E376" s="204"/>
      <c r="F376" s="183" t="s">
        <v>124</v>
      </c>
      <c r="G376" s="183" t="s">
        <v>125</v>
      </c>
      <c r="H376" s="193" t="s">
        <v>146</v>
      </c>
      <c r="I376" s="193" t="s">
        <v>147</v>
      </c>
      <c r="J376" s="177" t="s">
        <v>117</v>
      </c>
      <c r="K376" s="195">
        <v>45818.0</v>
      </c>
      <c r="L376" s="177" t="s">
        <v>118</v>
      </c>
      <c r="M376" s="205" t="s">
        <v>148</v>
      </c>
      <c r="N376" s="177">
        <v>8.0</v>
      </c>
      <c r="O376" s="183" t="s">
        <v>149</v>
      </c>
      <c r="P376" s="188"/>
      <c r="Q376" s="188"/>
    </row>
    <row r="377">
      <c r="A377" s="212">
        <v>462.0</v>
      </c>
      <c r="B377" s="179" t="s">
        <v>11</v>
      </c>
      <c r="C377" s="261">
        <v>45777.0</v>
      </c>
      <c r="D377" s="200" t="s">
        <v>122</v>
      </c>
      <c r="E377" s="199" t="s">
        <v>242</v>
      </c>
      <c r="F377" s="202" t="s">
        <v>116</v>
      </c>
      <c r="G377" s="245"/>
      <c r="H377" s="166"/>
      <c r="I377" s="93"/>
      <c r="J377" s="196"/>
      <c r="K377" s="186"/>
      <c r="L377" s="187"/>
      <c r="M377" s="183"/>
      <c r="N377" s="213"/>
      <c r="O377" s="188"/>
      <c r="P377" s="188"/>
      <c r="Q377" s="188"/>
    </row>
    <row r="378">
      <c r="A378" s="212"/>
      <c r="B378" s="198"/>
      <c r="C378" s="203"/>
      <c r="D378" s="202"/>
      <c r="E378" s="204"/>
      <c r="F378" s="209"/>
      <c r="G378" s="209"/>
      <c r="H378" s="210"/>
      <c r="I378" s="193"/>
      <c r="J378" s="196"/>
      <c r="K378" s="195"/>
      <c r="L378" s="196"/>
      <c r="M378" s="205"/>
      <c r="N378" s="211"/>
      <c r="O378" s="183"/>
      <c r="P378" s="188"/>
      <c r="Q378" s="188"/>
    </row>
    <row r="379">
      <c r="A379" s="212"/>
      <c r="B379" s="198"/>
      <c r="C379" s="203"/>
      <c r="D379" s="202"/>
      <c r="E379" s="204"/>
      <c r="F379" s="209"/>
      <c r="G379" s="209"/>
      <c r="H379" s="210"/>
      <c r="I379" s="193"/>
      <c r="J379" s="196"/>
      <c r="K379" s="195"/>
      <c r="L379" s="196"/>
      <c r="M379" s="205"/>
      <c r="N379" s="211"/>
      <c r="O379" s="183"/>
      <c r="P379" s="188"/>
      <c r="Q379" s="188"/>
    </row>
    <row r="380">
      <c r="A380" s="212"/>
      <c r="B380" s="198"/>
      <c r="C380" s="203"/>
      <c r="D380" s="202"/>
      <c r="E380" s="204"/>
      <c r="F380" s="209"/>
      <c r="G380" s="209"/>
      <c r="H380" s="210"/>
      <c r="I380" s="193"/>
      <c r="J380" s="196"/>
      <c r="K380" s="195"/>
      <c r="L380" s="196"/>
      <c r="M380" s="205"/>
      <c r="N380" s="211"/>
      <c r="O380" s="183"/>
      <c r="P380" s="188"/>
      <c r="Q380" s="188"/>
    </row>
    <row r="381">
      <c r="A381" s="212"/>
      <c r="B381" s="198"/>
      <c r="C381" s="203"/>
      <c r="D381" s="202"/>
      <c r="E381" s="204"/>
      <c r="F381" s="209"/>
      <c r="G381" s="209"/>
      <c r="H381" s="210"/>
      <c r="I381" s="193"/>
      <c r="J381" s="196"/>
      <c r="K381" s="195"/>
      <c r="L381" s="196"/>
      <c r="M381" s="205"/>
      <c r="N381" s="211"/>
      <c r="O381" s="183"/>
      <c r="P381" s="188"/>
      <c r="Q381" s="188"/>
    </row>
    <row r="382">
      <c r="A382" s="212"/>
      <c r="B382" s="198"/>
      <c r="C382" s="203"/>
      <c r="D382" s="202"/>
      <c r="E382" s="204"/>
      <c r="F382" s="209"/>
      <c r="G382" s="209"/>
      <c r="H382" s="210"/>
      <c r="I382" s="193"/>
      <c r="J382" s="196"/>
      <c r="K382" s="195"/>
      <c r="L382" s="196"/>
      <c r="M382" s="205"/>
      <c r="N382" s="211"/>
      <c r="O382" s="183"/>
      <c r="P382" s="188"/>
      <c r="Q382" s="188"/>
    </row>
    <row r="383">
      <c r="A383" s="212"/>
      <c r="B383" s="198"/>
      <c r="C383" s="203"/>
      <c r="D383" s="202"/>
      <c r="E383" s="204"/>
      <c r="F383" s="209"/>
      <c r="G383" s="209"/>
      <c r="H383" s="210"/>
      <c r="I383" s="193"/>
      <c r="J383" s="196"/>
      <c r="K383" s="195"/>
      <c r="L383" s="196"/>
      <c r="M383" s="205"/>
      <c r="N383" s="211"/>
      <c r="O383" s="183"/>
      <c r="P383" s="188"/>
      <c r="Q383" s="188"/>
    </row>
    <row r="384">
      <c r="A384" s="212"/>
      <c r="B384" s="198"/>
      <c r="C384" s="203"/>
      <c r="D384" s="202"/>
      <c r="E384" s="204"/>
      <c r="F384" s="209"/>
      <c r="G384" s="209"/>
      <c r="H384" s="210"/>
      <c r="I384" s="193"/>
      <c r="J384" s="196"/>
      <c r="K384" s="195"/>
      <c r="L384" s="196"/>
      <c r="M384" s="205"/>
      <c r="N384" s="211"/>
      <c r="O384" s="183"/>
      <c r="P384" s="188"/>
      <c r="Q384" s="188"/>
    </row>
    <row r="385">
      <c r="A385" s="212"/>
      <c r="B385" s="198"/>
      <c r="C385" s="203"/>
      <c r="D385" s="202"/>
      <c r="E385" s="204"/>
      <c r="F385" s="209"/>
      <c r="G385" s="209"/>
      <c r="H385" s="210"/>
      <c r="I385" s="193"/>
      <c r="J385" s="196"/>
      <c r="K385" s="195"/>
      <c r="L385" s="196"/>
      <c r="M385" s="205"/>
      <c r="N385" s="211"/>
      <c r="O385" s="183"/>
      <c r="P385" s="188"/>
      <c r="Q385" s="188"/>
    </row>
    <row r="386">
      <c r="A386" s="212"/>
      <c r="B386" s="198"/>
      <c r="C386" s="203"/>
      <c r="D386" s="202"/>
      <c r="E386" s="204"/>
      <c r="F386" s="209"/>
      <c r="G386" s="209"/>
      <c r="H386" s="210"/>
      <c r="I386" s="193"/>
      <c r="J386" s="196"/>
      <c r="K386" s="195"/>
      <c r="L386" s="196"/>
      <c r="M386" s="205"/>
      <c r="N386" s="211"/>
      <c r="O386" s="183"/>
      <c r="P386" s="188"/>
      <c r="Q386" s="188"/>
    </row>
    <row r="387">
      <c r="A387" s="212"/>
      <c r="B387" s="198"/>
      <c r="C387" s="203"/>
      <c r="D387" s="202"/>
      <c r="E387" s="204"/>
      <c r="F387" s="209"/>
      <c r="G387" s="209"/>
      <c r="H387" s="210"/>
      <c r="I387" s="193"/>
      <c r="J387" s="196"/>
      <c r="K387" s="195"/>
      <c r="L387" s="196"/>
      <c r="M387" s="205"/>
      <c r="N387" s="211"/>
      <c r="O387" s="183"/>
      <c r="P387" s="188"/>
      <c r="Q387" s="188"/>
    </row>
    <row r="388">
      <c r="A388" s="212"/>
      <c r="B388" s="198"/>
      <c r="C388" s="203"/>
      <c r="D388" s="202"/>
      <c r="E388" s="204"/>
      <c r="F388" s="209"/>
      <c r="G388" s="209"/>
      <c r="H388" s="210"/>
      <c r="I388" s="193"/>
      <c r="J388" s="196"/>
      <c r="K388" s="195"/>
      <c r="L388" s="196"/>
      <c r="M388" s="205"/>
      <c r="N388" s="211"/>
      <c r="O388" s="183"/>
      <c r="P388" s="188"/>
      <c r="Q388" s="188"/>
    </row>
    <row r="389">
      <c r="A389" s="212"/>
      <c r="B389" s="198"/>
      <c r="C389" s="203"/>
      <c r="D389" s="202"/>
      <c r="E389" s="204"/>
      <c r="F389" s="209"/>
      <c r="G389" s="209"/>
      <c r="H389" s="210"/>
      <c r="I389" s="193"/>
      <c r="J389" s="196"/>
      <c r="K389" s="195"/>
      <c r="L389" s="196"/>
      <c r="M389" s="205"/>
      <c r="N389" s="211"/>
      <c r="O389" s="183"/>
      <c r="P389" s="188"/>
      <c r="Q389" s="188"/>
    </row>
    <row r="390">
      <c r="A390" s="212"/>
      <c r="B390" s="198"/>
      <c r="C390" s="203"/>
      <c r="D390" s="202"/>
      <c r="E390" s="204"/>
      <c r="F390" s="209"/>
      <c r="G390" s="209"/>
      <c r="H390" s="210"/>
      <c r="I390" s="193"/>
      <c r="J390" s="196"/>
      <c r="K390" s="195"/>
      <c r="L390" s="196"/>
      <c r="M390" s="205"/>
      <c r="N390" s="211"/>
      <c r="O390" s="183"/>
      <c r="P390" s="188"/>
      <c r="Q390" s="188"/>
    </row>
    <row r="391">
      <c r="A391" s="212"/>
      <c r="B391" s="198"/>
      <c r="C391" s="203"/>
      <c r="D391" s="202"/>
      <c r="E391" s="204"/>
      <c r="F391" s="209"/>
      <c r="G391" s="209"/>
      <c r="H391" s="210"/>
      <c r="I391" s="193"/>
      <c r="J391" s="196"/>
      <c r="K391" s="195"/>
      <c r="L391" s="196"/>
      <c r="M391" s="205"/>
      <c r="N391" s="211"/>
      <c r="O391" s="183"/>
      <c r="P391" s="188"/>
      <c r="Q391" s="188"/>
    </row>
    <row r="392">
      <c r="A392" s="212"/>
      <c r="B392" s="198"/>
      <c r="C392" s="203"/>
      <c r="D392" s="202"/>
      <c r="E392" s="204"/>
      <c r="F392" s="209"/>
      <c r="G392" s="209"/>
      <c r="H392" s="210"/>
      <c r="I392" s="193"/>
      <c r="J392" s="196"/>
      <c r="K392" s="195"/>
      <c r="L392" s="196"/>
      <c r="M392" s="205"/>
      <c r="N392" s="211"/>
      <c r="O392" s="183"/>
      <c r="P392" s="188"/>
      <c r="Q392" s="188"/>
    </row>
    <row r="393">
      <c r="A393" s="212"/>
      <c r="B393" s="198"/>
      <c r="C393" s="203"/>
      <c r="D393" s="202"/>
      <c r="E393" s="204"/>
      <c r="F393" s="209"/>
      <c r="G393" s="209"/>
      <c r="H393" s="210"/>
      <c r="I393" s="193"/>
      <c r="J393" s="196"/>
      <c r="K393" s="195"/>
      <c r="L393" s="196"/>
      <c r="M393" s="205"/>
      <c r="N393" s="211"/>
      <c r="O393" s="183"/>
      <c r="P393" s="188"/>
      <c r="Q393" s="188"/>
    </row>
    <row r="394">
      <c r="A394" s="212"/>
      <c r="B394" s="198"/>
      <c r="C394" s="203"/>
      <c r="D394" s="202"/>
      <c r="E394" s="204"/>
      <c r="F394" s="209"/>
      <c r="G394" s="209"/>
      <c r="H394" s="210"/>
      <c r="I394" s="193"/>
      <c r="J394" s="196"/>
      <c r="K394" s="195"/>
      <c r="L394" s="196"/>
      <c r="M394" s="205"/>
      <c r="N394" s="211"/>
      <c r="O394" s="183"/>
      <c r="P394" s="188"/>
      <c r="Q394" s="188"/>
    </row>
    <row r="395">
      <c r="A395" s="212"/>
      <c r="B395" s="198"/>
      <c r="C395" s="203"/>
      <c r="D395" s="202"/>
      <c r="E395" s="204"/>
      <c r="F395" s="209"/>
      <c r="G395" s="209"/>
      <c r="H395" s="210"/>
      <c r="I395" s="193"/>
      <c r="J395" s="196"/>
      <c r="K395" s="195"/>
      <c r="L395" s="196"/>
      <c r="M395" s="205"/>
      <c r="N395" s="211"/>
      <c r="O395" s="183"/>
      <c r="P395" s="188"/>
      <c r="Q395" s="188"/>
    </row>
    <row r="396">
      <c r="A396" s="212"/>
      <c r="B396" s="198"/>
      <c r="C396" s="203"/>
      <c r="D396" s="202"/>
      <c r="E396" s="204"/>
      <c r="F396" s="209"/>
      <c r="G396" s="209"/>
      <c r="H396" s="210"/>
      <c r="I396" s="193"/>
      <c r="J396" s="196"/>
      <c r="K396" s="195"/>
      <c r="L396" s="196"/>
      <c r="M396" s="205"/>
      <c r="N396" s="211"/>
      <c r="O396" s="183"/>
      <c r="P396" s="188"/>
      <c r="Q396" s="188"/>
    </row>
    <row r="397">
      <c r="A397" s="212"/>
      <c r="B397" s="198"/>
      <c r="C397" s="203"/>
      <c r="D397" s="202"/>
      <c r="E397" s="204"/>
      <c r="F397" s="209"/>
      <c r="G397" s="209"/>
      <c r="H397" s="210"/>
      <c r="I397" s="193"/>
      <c r="J397" s="196"/>
      <c r="K397" s="195"/>
      <c r="L397" s="196"/>
      <c r="M397" s="205"/>
      <c r="N397" s="211"/>
      <c r="O397" s="183"/>
      <c r="P397" s="188"/>
      <c r="Q397" s="188"/>
    </row>
    <row r="398">
      <c r="A398" s="212"/>
      <c r="B398" s="198"/>
      <c r="C398" s="203"/>
      <c r="D398" s="202"/>
      <c r="E398" s="204"/>
      <c r="F398" s="209"/>
      <c r="G398" s="209"/>
      <c r="H398" s="210"/>
      <c r="I398" s="193"/>
      <c r="J398" s="196"/>
      <c r="K398" s="195"/>
      <c r="L398" s="196"/>
      <c r="M398" s="205"/>
      <c r="N398" s="211"/>
      <c r="O398" s="183"/>
      <c r="P398" s="188"/>
      <c r="Q398" s="188"/>
    </row>
    <row r="399">
      <c r="A399" s="212"/>
      <c r="B399" s="198"/>
      <c r="C399" s="203"/>
      <c r="D399" s="202"/>
      <c r="E399" s="204"/>
      <c r="F399" s="209"/>
      <c r="G399" s="209"/>
      <c r="H399" s="210"/>
      <c r="I399" s="193"/>
      <c r="J399" s="196"/>
      <c r="K399" s="195"/>
      <c r="L399" s="196"/>
      <c r="M399" s="205"/>
      <c r="N399" s="211"/>
      <c r="O399" s="183"/>
      <c r="P399" s="188"/>
      <c r="Q399" s="188"/>
    </row>
    <row r="400">
      <c r="A400" s="212"/>
      <c r="B400" s="198"/>
      <c r="C400" s="203"/>
      <c r="D400" s="202"/>
      <c r="E400" s="204"/>
      <c r="F400" s="209"/>
      <c r="G400" s="209"/>
      <c r="H400" s="210"/>
      <c r="I400" s="193"/>
      <c r="J400" s="196"/>
      <c r="K400" s="195"/>
      <c r="L400" s="196"/>
      <c r="M400" s="205"/>
      <c r="N400" s="211"/>
      <c r="O400" s="183"/>
      <c r="P400" s="188"/>
      <c r="Q400" s="188"/>
    </row>
    <row r="401">
      <c r="A401" s="212"/>
      <c r="B401" s="198"/>
      <c r="C401" s="203"/>
      <c r="D401" s="202"/>
      <c r="E401" s="204"/>
      <c r="F401" s="209"/>
      <c r="G401" s="209"/>
      <c r="H401" s="210"/>
      <c r="I401" s="193"/>
      <c r="J401" s="196"/>
      <c r="K401" s="195"/>
      <c r="L401" s="196"/>
      <c r="M401" s="205"/>
      <c r="N401" s="211"/>
      <c r="O401" s="183"/>
      <c r="P401" s="188"/>
      <c r="Q401" s="188"/>
    </row>
    <row r="402">
      <c r="A402" s="212"/>
      <c r="B402" s="198"/>
      <c r="C402" s="203"/>
      <c r="D402" s="202"/>
      <c r="E402" s="204"/>
      <c r="F402" s="209"/>
      <c r="G402" s="209"/>
      <c r="H402" s="210"/>
      <c r="I402" s="193"/>
      <c r="J402" s="196"/>
      <c r="K402" s="195"/>
      <c r="L402" s="196"/>
      <c r="M402" s="205"/>
      <c r="N402" s="211"/>
      <c r="O402" s="183"/>
      <c r="P402" s="188"/>
      <c r="Q402" s="188"/>
    </row>
    <row r="403">
      <c r="A403" s="212"/>
      <c r="B403" s="198"/>
      <c r="C403" s="203"/>
      <c r="D403" s="202"/>
      <c r="E403" s="204"/>
      <c r="F403" s="209"/>
      <c r="G403" s="209"/>
      <c r="H403" s="210"/>
      <c r="I403" s="193"/>
      <c r="J403" s="196"/>
      <c r="K403" s="195"/>
      <c r="L403" s="196"/>
      <c r="M403" s="205"/>
      <c r="N403" s="211"/>
      <c r="O403" s="183"/>
      <c r="P403" s="188"/>
      <c r="Q403" s="188"/>
    </row>
    <row r="404">
      <c r="A404" s="212"/>
      <c r="B404" s="198"/>
      <c r="C404" s="203"/>
      <c r="D404" s="202"/>
      <c r="E404" s="204"/>
      <c r="F404" s="209"/>
      <c r="G404" s="209"/>
      <c r="H404" s="210"/>
      <c r="I404" s="193"/>
      <c r="J404" s="196"/>
      <c r="K404" s="195"/>
      <c r="L404" s="196"/>
      <c r="M404" s="205"/>
      <c r="N404" s="211"/>
      <c r="O404" s="183"/>
      <c r="P404" s="188"/>
      <c r="Q404" s="188"/>
    </row>
    <row r="405">
      <c r="A405" s="212"/>
      <c r="B405" s="198"/>
      <c r="C405" s="203"/>
      <c r="D405" s="202"/>
      <c r="E405" s="204"/>
      <c r="F405" s="209"/>
      <c r="G405" s="209"/>
      <c r="H405" s="210"/>
      <c r="I405" s="193"/>
      <c r="J405" s="196"/>
      <c r="K405" s="195"/>
      <c r="L405" s="196"/>
      <c r="M405" s="205"/>
      <c r="N405" s="211"/>
      <c r="O405" s="183"/>
      <c r="P405" s="188"/>
      <c r="Q405" s="188"/>
    </row>
    <row r="406">
      <c r="A406" s="212"/>
      <c r="B406" s="198"/>
      <c r="C406" s="203"/>
      <c r="D406" s="202"/>
      <c r="E406" s="204"/>
      <c r="F406" s="209"/>
      <c r="G406" s="209"/>
      <c r="H406" s="210"/>
      <c r="I406" s="193"/>
      <c r="J406" s="196"/>
      <c r="K406" s="195"/>
      <c r="L406" s="196"/>
      <c r="M406" s="205"/>
      <c r="N406" s="211"/>
      <c r="O406" s="183"/>
      <c r="P406" s="188"/>
      <c r="Q406" s="188"/>
    </row>
    <row r="407">
      <c r="A407" s="212"/>
      <c r="B407" s="198"/>
      <c r="C407" s="203"/>
      <c r="D407" s="202"/>
      <c r="E407" s="204"/>
      <c r="F407" s="209"/>
      <c r="G407" s="209"/>
      <c r="H407" s="210"/>
      <c r="I407" s="193"/>
      <c r="J407" s="196"/>
      <c r="K407" s="195"/>
      <c r="L407" s="196"/>
      <c r="M407" s="205"/>
      <c r="N407" s="211"/>
      <c r="O407" s="183"/>
      <c r="P407" s="188"/>
      <c r="Q407" s="188"/>
    </row>
    <row r="408">
      <c r="A408" s="212"/>
      <c r="B408" s="198"/>
      <c r="C408" s="203"/>
      <c r="D408" s="202"/>
      <c r="E408" s="204"/>
      <c r="F408" s="209"/>
      <c r="G408" s="209"/>
      <c r="H408" s="210"/>
      <c r="I408" s="193"/>
      <c r="J408" s="196"/>
      <c r="K408" s="195"/>
      <c r="L408" s="196"/>
      <c r="M408" s="205"/>
      <c r="N408" s="211"/>
      <c r="O408" s="183"/>
      <c r="P408" s="188"/>
      <c r="Q408" s="188"/>
    </row>
    <row r="409">
      <c r="A409" s="212"/>
      <c r="B409" s="198"/>
      <c r="C409" s="203"/>
      <c r="D409" s="202"/>
      <c r="E409" s="204"/>
      <c r="F409" s="209"/>
      <c r="G409" s="209"/>
      <c r="H409" s="210"/>
      <c r="I409" s="193"/>
      <c r="J409" s="196"/>
      <c r="K409" s="195"/>
      <c r="L409" s="196"/>
      <c r="M409" s="205"/>
      <c r="N409" s="211"/>
      <c r="O409" s="183"/>
      <c r="P409" s="188"/>
      <c r="Q409" s="188"/>
    </row>
    <row r="410">
      <c r="A410" s="212"/>
      <c r="B410" s="198"/>
      <c r="C410" s="203"/>
      <c r="D410" s="202"/>
      <c r="E410" s="204"/>
      <c r="F410" s="209"/>
      <c r="G410" s="209"/>
      <c r="H410" s="210"/>
      <c r="I410" s="193"/>
      <c r="J410" s="196"/>
      <c r="K410" s="195"/>
      <c r="L410" s="196"/>
      <c r="M410" s="205"/>
      <c r="N410" s="211"/>
      <c r="O410" s="183"/>
      <c r="P410" s="188"/>
      <c r="Q410" s="188"/>
    </row>
    <row r="411">
      <c r="A411" s="212"/>
      <c r="B411" s="198"/>
      <c r="C411" s="203"/>
      <c r="D411" s="202"/>
      <c r="E411" s="204"/>
      <c r="F411" s="209"/>
      <c r="G411" s="209"/>
      <c r="H411" s="210"/>
      <c r="I411" s="193"/>
      <c r="J411" s="196"/>
      <c r="K411" s="195"/>
      <c r="L411" s="196"/>
      <c r="M411" s="205"/>
      <c r="N411" s="211"/>
      <c r="O411" s="183"/>
      <c r="P411" s="188"/>
      <c r="Q411" s="188"/>
    </row>
    <row r="412">
      <c r="A412" s="214"/>
      <c r="B412" s="190"/>
      <c r="C412" s="214"/>
      <c r="D412" s="190"/>
      <c r="E412" s="191"/>
      <c r="F412" s="228"/>
      <c r="G412" s="228"/>
      <c r="H412" s="245"/>
      <c r="I412" s="194"/>
      <c r="J412" s="196"/>
      <c r="K412" s="195"/>
      <c r="L412" s="196"/>
      <c r="M412" s="205"/>
      <c r="N412" s="177"/>
      <c r="O412" s="183"/>
      <c r="P412" s="188"/>
      <c r="Q412" s="188"/>
    </row>
    <row r="413">
      <c r="A413" s="214"/>
      <c r="B413" s="190"/>
      <c r="C413" s="203"/>
      <c r="D413" s="202"/>
      <c r="E413" s="204"/>
      <c r="F413" s="209"/>
      <c r="G413" s="209"/>
      <c r="H413" s="210"/>
      <c r="I413" s="193"/>
      <c r="J413" s="196"/>
      <c r="K413" s="195"/>
      <c r="L413" s="196"/>
      <c r="M413" s="205"/>
      <c r="N413" s="211"/>
      <c r="O413" s="183"/>
      <c r="P413" s="188"/>
      <c r="Q413" s="188"/>
    </row>
    <row r="414">
      <c r="A414" s="214"/>
      <c r="B414" s="190"/>
      <c r="C414" s="203"/>
      <c r="D414" s="202"/>
      <c r="E414" s="204"/>
      <c r="F414" s="209"/>
      <c r="G414" s="209"/>
      <c r="H414" s="210"/>
      <c r="I414" s="193"/>
      <c r="J414" s="196"/>
      <c r="K414" s="195"/>
      <c r="L414" s="196"/>
      <c r="M414" s="205"/>
      <c r="N414" s="211"/>
      <c r="O414" s="183"/>
      <c r="P414" s="188"/>
      <c r="Q414" s="188"/>
    </row>
    <row r="415">
      <c r="A415" s="214"/>
      <c r="B415" s="190"/>
      <c r="C415" s="203"/>
      <c r="D415" s="202"/>
      <c r="E415" s="204"/>
      <c r="F415" s="209"/>
      <c r="G415" s="209"/>
      <c r="H415" s="210"/>
      <c r="I415" s="193"/>
      <c r="J415" s="196"/>
      <c r="K415" s="195"/>
      <c r="L415" s="196"/>
      <c r="M415" s="205"/>
      <c r="N415" s="211"/>
      <c r="O415" s="183"/>
      <c r="P415" s="188"/>
      <c r="Q415" s="188"/>
    </row>
    <row r="416">
      <c r="A416" s="214"/>
      <c r="B416" s="190"/>
      <c r="C416" s="203"/>
      <c r="D416" s="202"/>
      <c r="E416" s="204"/>
      <c r="F416" s="209"/>
      <c r="G416" s="209"/>
      <c r="H416" s="210"/>
      <c r="I416" s="193"/>
      <c r="J416" s="196"/>
      <c r="K416" s="195"/>
      <c r="L416" s="196"/>
      <c r="M416" s="205"/>
      <c r="N416" s="211"/>
      <c r="O416" s="183"/>
      <c r="P416" s="188"/>
      <c r="Q416" s="188"/>
    </row>
    <row r="417">
      <c r="A417" s="214"/>
      <c r="B417" s="190"/>
      <c r="C417" s="203"/>
      <c r="D417" s="202"/>
      <c r="E417" s="204"/>
      <c r="F417" s="209"/>
      <c r="G417" s="209"/>
      <c r="H417" s="210"/>
      <c r="I417" s="193"/>
      <c r="J417" s="196"/>
      <c r="K417" s="195"/>
      <c r="L417" s="196"/>
      <c r="M417" s="205"/>
      <c r="N417" s="211"/>
      <c r="O417" s="183"/>
      <c r="P417" s="188"/>
      <c r="Q417" s="188"/>
    </row>
    <row r="418">
      <c r="A418" s="214"/>
      <c r="B418" s="190"/>
      <c r="C418" s="203"/>
      <c r="D418" s="202"/>
      <c r="E418" s="204"/>
      <c r="F418" s="209"/>
      <c r="G418" s="209"/>
      <c r="H418" s="210"/>
      <c r="I418" s="193"/>
      <c r="J418" s="196"/>
      <c r="K418" s="195"/>
      <c r="L418" s="196"/>
      <c r="M418" s="205"/>
      <c r="N418" s="211"/>
      <c r="O418" s="183"/>
      <c r="P418" s="188"/>
      <c r="Q418" s="188"/>
    </row>
    <row r="419">
      <c r="A419" s="214"/>
      <c r="B419" s="190"/>
      <c r="C419" s="203"/>
      <c r="D419" s="202"/>
      <c r="E419" s="204"/>
      <c r="F419" s="209"/>
      <c r="G419" s="209"/>
      <c r="H419" s="210"/>
      <c r="I419" s="193"/>
      <c r="J419" s="196"/>
      <c r="K419" s="195"/>
      <c r="L419" s="196"/>
      <c r="M419" s="205"/>
      <c r="N419" s="211"/>
      <c r="O419" s="183"/>
      <c r="P419" s="188"/>
      <c r="Q419" s="188"/>
    </row>
    <row r="420">
      <c r="A420" s="214"/>
      <c r="B420" s="190"/>
      <c r="C420" s="203"/>
      <c r="D420" s="202"/>
      <c r="E420" s="204"/>
      <c r="F420" s="209"/>
      <c r="G420" s="209"/>
      <c r="H420" s="210"/>
      <c r="I420" s="193"/>
      <c r="J420" s="196"/>
      <c r="K420" s="195"/>
      <c r="L420" s="196"/>
      <c r="M420" s="205"/>
      <c r="N420" s="211"/>
      <c r="O420" s="183"/>
      <c r="P420" s="188"/>
      <c r="Q420" s="188"/>
    </row>
    <row r="421">
      <c r="A421" s="214"/>
      <c r="B421" s="190"/>
      <c r="C421" s="203"/>
      <c r="D421" s="202"/>
      <c r="E421" s="204"/>
      <c r="F421" s="209"/>
      <c r="G421" s="209"/>
      <c r="H421" s="210"/>
      <c r="I421" s="193"/>
      <c r="J421" s="196"/>
      <c r="K421" s="195"/>
      <c r="L421" s="196"/>
      <c r="M421" s="205"/>
      <c r="N421" s="211"/>
      <c r="O421" s="183"/>
      <c r="P421" s="188"/>
      <c r="Q421" s="188"/>
    </row>
    <row r="422">
      <c r="A422" s="214"/>
      <c r="B422" s="190"/>
      <c r="C422" s="203"/>
      <c r="D422" s="202"/>
      <c r="E422" s="204"/>
      <c r="F422" s="209"/>
      <c r="G422" s="209"/>
      <c r="H422" s="210"/>
      <c r="I422" s="193"/>
      <c r="J422" s="196"/>
      <c r="K422" s="195"/>
      <c r="L422" s="196"/>
      <c r="M422" s="205"/>
      <c r="N422" s="211"/>
      <c r="O422" s="183"/>
      <c r="P422" s="188"/>
      <c r="Q422" s="188"/>
    </row>
    <row r="423">
      <c r="A423" s="214"/>
      <c r="B423" s="190"/>
      <c r="C423" s="203"/>
      <c r="D423" s="202"/>
      <c r="E423" s="204"/>
      <c r="F423" s="209"/>
      <c r="G423" s="209"/>
      <c r="H423" s="210"/>
      <c r="I423" s="193"/>
      <c r="J423" s="196"/>
      <c r="K423" s="195"/>
      <c r="L423" s="196"/>
      <c r="M423" s="205"/>
      <c r="N423" s="211"/>
      <c r="O423" s="183"/>
      <c r="P423" s="188"/>
      <c r="Q423" s="188"/>
    </row>
    <row r="424">
      <c r="A424" s="214"/>
      <c r="B424" s="190"/>
      <c r="C424" s="203"/>
      <c r="D424" s="202"/>
      <c r="E424" s="204"/>
      <c r="F424" s="209"/>
      <c r="G424" s="209"/>
      <c r="H424" s="210"/>
      <c r="I424" s="193"/>
      <c r="J424" s="196"/>
      <c r="K424" s="195"/>
      <c r="L424" s="196"/>
      <c r="M424" s="205"/>
      <c r="N424" s="211"/>
      <c r="O424" s="183"/>
      <c r="P424" s="188"/>
      <c r="Q424" s="188"/>
    </row>
    <row r="425">
      <c r="A425" s="214"/>
      <c r="B425" s="190"/>
      <c r="C425" s="203"/>
      <c r="D425" s="202"/>
      <c r="E425" s="204"/>
      <c r="F425" s="209"/>
      <c r="G425" s="209"/>
      <c r="H425" s="210"/>
      <c r="I425" s="193"/>
      <c r="J425" s="196"/>
      <c r="K425" s="195"/>
      <c r="L425" s="196"/>
      <c r="M425" s="205"/>
      <c r="N425" s="211"/>
      <c r="O425" s="183"/>
      <c r="P425" s="188"/>
      <c r="Q425" s="188"/>
    </row>
    <row r="426">
      <c r="A426" s="214"/>
      <c r="B426" s="190"/>
      <c r="C426" s="203"/>
      <c r="D426" s="202"/>
      <c r="E426" s="204"/>
      <c r="F426" s="209"/>
      <c r="G426" s="209"/>
      <c r="H426" s="210"/>
      <c r="I426" s="193"/>
      <c r="J426" s="196"/>
      <c r="K426" s="195"/>
      <c r="L426" s="196"/>
      <c r="M426" s="205"/>
      <c r="N426" s="211"/>
      <c r="O426" s="183"/>
      <c r="P426" s="188"/>
      <c r="Q426" s="188"/>
    </row>
    <row r="427">
      <c r="A427" s="214"/>
      <c r="B427" s="190"/>
      <c r="C427" s="203"/>
      <c r="D427" s="202"/>
      <c r="E427" s="204"/>
      <c r="F427" s="209"/>
      <c r="G427" s="209"/>
      <c r="H427" s="210"/>
      <c r="I427" s="193"/>
      <c r="J427" s="196"/>
      <c r="K427" s="195"/>
      <c r="L427" s="196"/>
      <c r="M427" s="205"/>
      <c r="N427" s="211"/>
      <c r="O427" s="183"/>
      <c r="P427" s="188"/>
      <c r="Q427" s="188"/>
    </row>
    <row r="428">
      <c r="A428" s="214"/>
      <c r="B428" s="190"/>
      <c r="C428" s="203"/>
      <c r="D428" s="202"/>
      <c r="E428" s="204"/>
      <c r="F428" s="209"/>
      <c r="G428" s="209"/>
      <c r="H428" s="210"/>
      <c r="I428" s="193"/>
      <c r="J428" s="196"/>
      <c r="K428" s="195"/>
      <c r="L428" s="196"/>
      <c r="M428" s="205"/>
      <c r="N428" s="211"/>
      <c r="O428" s="183"/>
      <c r="P428" s="188"/>
      <c r="Q428" s="188"/>
    </row>
    <row r="429">
      <c r="A429" s="214"/>
      <c r="B429" s="190"/>
      <c r="C429" s="203"/>
      <c r="D429" s="202"/>
      <c r="E429" s="204"/>
      <c r="F429" s="209"/>
      <c r="G429" s="209"/>
      <c r="H429" s="210"/>
      <c r="I429" s="193"/>
      <c r="J429" s="196"/>
      <c r="K429" s="195"/>
      <c r="L429" s="196"/>
      <c r="M429" s="205"/>
      <c r="N429" s="211"/>
      <c r="O429" s="183"/>
      <c r="P429" s="188"/>
      <c r="Q429" s="188"/>
    </row>
    <row r="430">
      <c r="A430" s="214"/>
      <c r="B430" s="190"/>
      <c r="C430" s="203"/>
      <c r="D430" s="202"/>
      <c r="E430" s="204"/>
      <c r="F430" s="209"/>
      <c r="G430" s="209"/>
      <c r="H430" s="210"/>
      <c r="I430" s="193"/>
      <c r="J430" s="196"/>
      <c r="K430" s="195"/>
      <c r="L430" s="196"/>
      <c r="M430" s="205"/>
      <c r="N430" s="211"/>
      <c r="O430" s="183"/>
      <c r="P430" s="188"/>
      <c r="Q430" s="188"/>
    </row>
    <row r="431">
      <c r="A431" s="214"/>
      <c r="B431" s="190"/>
      <c r="C431" s="203"/>
      <c r="D431" s="202"/>
      <c r="E431" s="204"/>
      <c r="F431" s="209"/>
      <c r="G431" s="209"/>
      <c r="H431" s="210"/>
      <c r="I431" s="193"/>
      <c r="J431" s="196"/>
      <c r="K431" s="195"/>
      <c r="L431" s="196"/>
      <c r="M431" s="205"/>
      <c r="N431" s="211"/>
      <c r="O431" s="183"/>
      <c r="P431" s="188"/>
      <c r="Q431" s="188"/>
    </row>
    <row r="432">
      <c r="A432" s="214"/>
      <c r="B432" s="190"/>
      <c r="C432" s="203"/>
      <c r="D432" s="202"/>
      <c r="E432" s="204"/>
      <c r="F432" s="209"/>
      <c r="G432" s="209"/>
      <c r="H432" s="210"/>
      <c r="I432" s="193"/>
      <c r="J432" s="196"/>
      <c r="K432" s="195"/>
      <c r="L432" s="196"/>
      <c r="M432" s="205"/>
      <c r="N432" s="211"/>
      <c r="O432" s="183"/>
      <c r="P432" s="188"/>
      <c r="Q432" s="188"/>
    </row>
    <row r="433">
      <c r="A433" s="214"/>
      <c r="B433" s="190"/>
      <c r="C433" s="203"/>
      <c r="D433" s="202"/>
      <c r="E433" s="204"/>
      <c r="F433" s="209"/>
      <c r="G433" s="209"/>
      <c r="H433" s="210"/>
      <c r="I433" s="193"/>
      <c r="J433" s="196"/>
      <c r="K433" s="195"/>
      <c r="L433" s="196"/>
      <c r="M433" s="205"/>
      <c r="N433" s="211"/>
      <c r="O433" s="183"/>
      <c r="P433" s="188"/>
      <c r="Q433" s="188"/>
    </row>
    <row r="434">
      <c r="A434" s="214"/>
      <c r="B434" s="190"/>
      <c r="C434" s="203"/>
      <c r="D434" s="202"/>
      <c r="E434" s="204"/>
      <c r="F434" s="209"/>
      <c r="G434" s="209"/>
      <c r="H434" s="210"/>
      <c r="I434" s="193"/>
      <c r="J434" s="196"/>
      <c r="K434" s="195"/>
      <c r="L434" s="196"/>
      <c r="M434" s="205"/>
      <c r="N434" s="211"/>
      <c r="O434" s="183"/>
      <c r="P434" s="188"/>
      <c r="Q434" s="188"/>
    </row>
    <row r="435">
      <c r="A435" s="214"/>
      <c r="B435" s="190"/>
      <c r="C435" s="203"/>
      <c r="D435" s="202"/>
      <c r="E435" s="204"/>
      <c r="F435" s="209"/>
      <c r="G435" s="209"/>
      <c r="H435" s="210"/>
      <c r="I435" s="193"/>
      <c r="J435" s="196"/>
      <c r="K435" s="195"/>
      <c r="L435" s="196"/>
      <c r="M435" s="205"/>
      <c r="N435" s="211"/>
      <c r="O435" s="183"/>
      <c r="P435" s="188"/>
      <c r="Q435" s="188"/>
    </row>
    <row r="436">
      <c r="A436" s="214"/>
      <c r="B436" s="190"/>
      <c r="C436" s="203"/>
      <c r="D436" s="202"/>
      <c r="E436" s="204"/>
      <c r="F436" s="209"/>
      <c r="G436" s="209"/>
      <c r="H436" s="210"/>
      <c r="I436" s="193"/>
      <c r="J436" s="196"/>
      <c r="K436" s="195"/>
      <c r="L436" s="196"/>
      <c r="M436" s="205"/>
      <c r="N436" s="211"/>
      <c r="O436" s="183"/>
      <c r="P436" s="188"/>
      <c r="Q436" s="188"/>
    </row>
    <row r="437">
      <c r="A437" s="214"/>
      <c r="B437" s="190"/>
      <c r="C437" s="203"/>
      <c r="D437" s="202"/>
      <c r="E437" s="204"/>
      <c r="F437" s="209"/>
      <c r="G437" s="209"/>
      <c r="H437" s="210"/>
      <c r="I437" s="193"/>
      <c r="J437" s="196"/>
      <c r="K437" s="195"/>
      <c r="L437" s="196"/>
      <c r="M437" s="205"/>
      <c r="N437" s="211"/>
      <c r="O437" s="183"/>
      <c r="P437" s="188"/>
      <c r="Q437" s="188"/>
    </row>
    <row r="438">
      <c r="A438" s="214"/>
      <c r="B438" s="190"/>
      <c r="C438" s="203"/>
      <c r="D438" s="202"/>
      <c r="E438" s="204"/>
      <c r="F438" s="209"/>
      <c r="G438" s="209"/>
      <c r="H438" s="210"/>
      <c r="I438" s="193"/>
      <c r="J438" s="196"/>
      <c r="K438" s="195"/>
      <c r="L438" s="196"/>
      <c r="M438" s="205"/>
      <c r="N438" s="211"/>
      <c r="O438" s="183"/>
      <c r="P438" s="188"/>
      <c r="Q438" s="188"/>
    </row>
    <row r="439">
      <c r="A439" s="214"/>
      <c r="B439" s="190"/>
      <c r="C439" s="203"/>
      <c r="D439" s="202"/>
      <c r="E439" s="204"/>
      <c r="F439" s="209"/>
      <c r="G439" s="209"/>
      <c r="H439" s="210"/>
      <c r="I439" s="193"/>
      <c r="J439" s="196"/>
      <c r="K439" s="195"/>
      <c r="L439" s="196"/>
      <c r="M439" s="205"/>
      <c r="N439" s="211"/>
      <c r="O439" s="183"/>
      <c r="P439" s="188"/>
      <c r="Q439" s="188"/>
    </row>
    <row r="440">
      <c r="A440" s="214"/>
      <c r="B440" s="190"/>
      <c r="C440" s="203"/>
      <c r="D440" s="202"/>
      <c r="E440" s="204"/>
      <c r="F440" s="209"/>
      <c r="G440" s="209"/>
      <c r="H440" s="210"/>
      <c r="I440" s="193"/>
      <c r="J440" s="196"/>
      <c r="K440" s="195"/>
      <c r="L440" s="196"/>
      <c r="M440" s="205"/>
      <c r="N440" s="211"/>
      <c r="O440" s="183"/>
      <c r="P440" s="188"/>
      <c r="Q440" s="188"/>
    </row>
    <row r="441">
      <c r="A441" s="214"/>
      <c r="B441" s="190"/>
      <c r="C441" s="203"/>
      <c r="D441" s="202"/>
      <c r="E441" s="204"/>
      <c r="F441" s="209"/>
      <c r="G441" s="209"/>
      <c r="H441" s="210"/>
      <c r="I441" s="193"/>
      <c r="J441" s="196"/>
      <c r="K441" s="195"/>
      <c r="L441" s="196"/>
      <c r="M441" s="205"/>
      <c r="N441" s="211"/>
      <c r="O441" s="183"/>
      <c r="P441" s="188"/>
      <c r="Q441" s="188"/>
    </row>
    <row r="442">
      <c r="A442" s="214"/>
      <c r="B442" s="190"/>
      <c r="C442" s="203"/>
      <c r="D442" s="202"/>
      <c r="E442" s="204"/>
      <c r="F442" s="209"/>
      <c r="G442" s="209"/>
      <c r="H442" s="210"/>
      <c r="I442" s="193"/>
      <c r="J442" s="196"/>
      <c r="K442" s="195"/>
      <c r="L442" s="196"/>
      <c r="M442" s="205"/>
      <c r="N442" s="211"/>
      <c r="O442" s="183"/>
      <c r="P442" s="188"/>
      <c r="Q442" s="188"/>
    </row>
    <row r="443">
      <c r="A443" s="214"/>
      <c r="B443" s="190"/>
      <c r="C443" s="203"/>
      <c r="D443" s="202"/>
      <c r="E443" s="204"/>
      <c r="F443" s="209"/>
      <c r="G443" s="209"/>
      <c r="H443" s="210"/>
      <c r="I443" s="193"/>
      <c r="J443" s="196"/>
      <c r="K443" s="195"/>
      <c r="L443" s="196"/>
      <c r="M443" s="205"/>
      <c r="N443" s="211"/>
      <c r="O443" s="183"/>
      <c r="P443" s="188"/>
      <c r="Q443" s="188"/>
    </row>
    <row r="444">
      <c r="A444" s="214"/>
      <c r="B444" s="190"/>
      <c r="C444" s="203"/>
      <c r="D444" s="202"/>
      <c r="E444" s="204"/>
      <c r="F444" s="209"/>
      <c r="G444" s="209"/>
      <c r="H444" s="210"/>
      <c r="I444" s="193"/>
      <c r="J444" s="196"/>
      <c r="K444" s="195"/>
      <c r="L444" s="196"/>
      <c r="M444" s="205"/>
      <c r="N444" s="211"/>
      <c r="O444" s="183"/>
      <c r="P444" s="188"/>
      <c r="Q444" s="188"/>
    </row>
    <row r="445">
      <c r="A445" s="214"/>
      <c r="B445" s="190"/>
      <c r="C445" s="203"/>
      <c r="D445" s="202"/>
      <c r="E445" s="204"/>
      <c r="F445" s="209"/>
      <c r="G445" s="209"/>
      <c r="H445" s="210"/>
      <c r="I445" s="193"/>
      <c r="J445" s="196"/>
      <c r="K445" s="195"/>
      <c r="L445" s="196"/>
      <c r="M445" s="205"/>
      <c r="N445" s="211"/>
      <c r="O445" s="183"/>
      <c r="P445" s="188"/>
      <c r="Q445" s="188"/>
    </row>
    <row r="446">
      <c r="A446" s="214"/>
      <c r="B446" s="190"/>
      <c r="C446" s="203"/>
      <c r="D446" s="202"/>
      <c r="E446" s="204"/>
      <c r="F446" s="209"/>
      <c r="G446" s="209"/>
      <c r="H446" s="210"/>
      <c r="I446" s="193"/>
      <c r="J446" s="196"/>
      <c r="K446" s="195"/>
      <c r="L446" s="196"/>
      <c r="M446" s="205"/>
      <c r="N446" s="211"/>
      <c r="O446" s="183"/>
      <c r="P446" s="188"/>
      <c r="Q446" s="188"/>
    </row>
    <row r="447">
      <c r="A447" s="214"/>
      <c r="B447" s="190"/>
      <c r="C447" s="203"/>
      <c r="D447" s="202"/>
      <c r="E447" s="204"/>
      <c r="F447" s="209"/>
      <c r="G447" s="209"/>
      <c r="H447" s="210"/>
      <c r="I447" s="193"/>
      <c r="J447" s="196"/>
      <c r="K447" s="195"/>
      <c r="L447" s="196"/>
      <c r="M447" s="205"/>
      <c r="N447" s="211"/>
      <c r="O447" s="183"/>
      <c r="P447" s="188"/>
      <c r="Q447" s="188"/>
    </row>
    <row r="448">
      <c r="A448" s="214"/>
      <c r="B448" s="190"/>
      <c r="C448" s="203"/>
      <c r="D448" s="202"/>
      <c r="E448" s="204"/>
      <c r="F448" s="209"/>
      <c r="G448" s="209"/>
      <c r="H448" s="210"/>
      <c r="I448" s="193"/>
      <c r="J448" s="196"/>
      <c r="K448" s="195"/>
      <c r="L448" s="196"/>
      <c r="M448" s="205"/>
      <c r="N448" s="211"/>
      <c r="O448" s="183"/>
      <c r="P448" s="188"/>
      <c r="Q448" s="188"/>
    </row>
    <row r="449">
      <c r="A449" s="214"/>
      <c r="B449" s="190"/>
      <c r="C449" s="203"/>
      <c r="D449" s="202"/>
      <c r="E449" s="204"/>
      <c r="F449" s="209"/>
      <c r="G449" s="209"/>
      <c r="H449" s="210"/>
      <c r="I449" s="193"/>
      <c r="J449" s="196"/>
      <c r="K449" s="195"/>
      <c r="L449" s="196"/>
      <c r="M449" s="205"/>
      <c r="N449" s="211"/>
      <c r="O449" s="183"/>
      <c r="P449" s="188"/>
      <c r="Q449" s="188"/>
    </row>
    <row r="450">
      <c r="D450" s="168"/>
      <c r="H450" s="169"/>
      <c r="I450" s="169"/>
    </row>
    <row r="451">
      <c r="D451" s="168"/>
      <c r="H451" s="169"/>
      <c r="I451" s="169"/>
    </row>
    <row r="452">
      <c r="D452" s="168"/>
      <c r="H452" s="169"/>
      <c r="I452" s="169"/>
    </row>
    <row r="453">
      <c r="D453" s="168"/>
      <c r="H453" s="169"/>
      <c r="I453" s="169"/>
    </row>
    <row r="454">
      <c r="D454" s="168"/>
      <c r="H454" s="169"/>
      <c r="I454" s="169"/>
    </row>
    <row r="455">
      <c r="D455" s="168"/>
      <c r="H455" s="169"/>
      <c r="I455" s="169"/>
    </row>
    <row r="456">
      <c r="D456" s="168"/>
      <c r="H456" s="169"/>
      <c r="I456" s="169"/>
    </row>
    <row r="457">
      <c r="D457" s="168"/>
      <c r="H457" s="169"/>
      <c r="I457" s="169"/>
    </row>
    <row r="458">
      <c r="D458" s="168"/>
      <c r="H458" s="169"/>
      <c r="I458" s="169"/>
    </row>
    <row r="459">
      <c r="D459" s="168"/>
      <c r="H459" s="169"/>
      <c r="I459" s="169"/>
    </row>
    <row r="460">
      <c r="D460" s="168"/>
      <c r="H460" s="169"/>
      <c r="I460" s="169"/>
    </row>
    <row r="461">
      <c r="D461" s="168"/>
      <c r="H461" s="169"/>
      <c r="I461" s="169"/>
    </row>
    <row r="462">
      <c r="D462" s="168"/>
      <c r="H462" s="169"/>
      <c r="I462" s="169"/>
    </row>
    <row r="463">
      <c r="D463" s="168"/>
      <c r="H463" s="169"/>
      <c r="I463" s="169"/>
    </row>
    <row r="464">
      <c r="D464" s="168"/>
      <c r="H464" s="169"/>
      <c r="I464" s="169"/>
    </row>
    <row r="465">
      <c r="D465" s="168"/>
      <c r="H465" s="169"/>
      <c r="I465" s="169"/>
    </row>
    <row r="466">
      <c r="D466" s="168"/>
      <c r="H466" s="169"/>
      <c r="I466" s="169"/>
    </row>
    <row r="467">
      <c r="D467" s="168"/>
      <c r="H467" s="169"/>
      <c r="I467" s="169"/>
    </row>
    <row r="468">
      <c r="D468" s="168"/>
      <c r="H468" s="169"/>
      <c r="I468" s="169"/>
    </row>
    <row r="469">
      <c r="D469" s="168"/>
      <c r="H469" s="169"/>
      <c r="I469" s="169"/>
    </row>
    <row r="470">
      <c r="D470" s="168"/>
      <c r="H470" s="169"/>
      <c r="I470" s="169"/>
    </row>
    <row r="471">
      <c r="D471" s="168"/>
      <c r="H471" s="169"/>
      <c r="I471" s="169"/>
    </row>
    <row r="472">
      <c r="D472" s="168"/>
      <c r="H472" s="169"/>
      <c r="I472" s="169"/>
    </row>
    <row r="473">
      <c r="D473" s="168"/>
      <c r="H473" s="169"/>
      <c r="I473" s="169"/>
    </row>
    <row r="474">
      <c r="D474" s="168"/>
      <c r="H474" s="169"/>
      <c r="I474" s="169"/>
    </row>
    <row r="475">
      <c r="D475" s="168"/>
      <c r="H475" s="169"/>
      <c r="I475" s="169"/>
    </row>
    <row r="476">
      <c r="D476" s="168"/>
      <c r="H476" s="169"/>
      <c r="I476" s="169"/>
    </row>
    <row r="477">
      <c r="D477" s="168"/>
      <c r="H477" s="169"/>
      <c r="I477" s="169"/>
    </row>
    <row r="478">
      <c r="D478" s="168"/>
      <c r="H478" s="169"/>
      <c r="I478" s="169"/>
    </row>
    <row r="479">
      <c r="D479" s="168"/>
      <c r="H479" s="169"/>
      <c r="I479" s="169"/>
    </row>
    <row r="480">
      <c r="D480" s="168"/>
      <c r="H480" s="169"/>
      <c r="I480" s="169"/>
    </row>
    <row r="481">
      <c r="D481" s="168"/>
      <c r="H481" s="169"/>
      <c r="I481" s="169"/>
    </row>
    <row r="482">
      <c r="D482" s="168"/>
      <c r="H482" s="169"/>
      <c r="I482" s="169"/>
    </row>
    <row r="483">
      <c r="D483" s="168"/>
      <c r="H483" s="169"/>
      <c r="I483" s="169"/>
    </row>
    <row r="484">
      <c r="D484" s="168"/>
      <c r="H484" s="169"/>
      <c r="I484" s="169"/>
    </row>
    <row r="485">
      <c r="D485" s="168"/>
      <c r="H485" s="169"/>
      <c r="I485" s="169"/>
    </row>
    <row r="486">
      <c r="D486" s="168"/>
      <c r="H486" s="169"/>
      <c r="I486" s="169"/>
    </row>
    <row r="487">
      <c r="D487" s="168"/>
      <c r="H487" s="169"/>
      <c r="I487" s="169"/>
    </row>
    <row r="488">
      <c r="D488" s="168"/>
      <c r="H488" s="169"/>
      <c r="I488" s="169"/>
    </row>
    <row r="489">
      <c r="D489" s="168"/>
      <c r="H489" s="169"/>
      <c r="I489" s="169"/>
    </row>
    <row r="490">
      <c r="D490" s="168"/>
      <c r="H490" s="169"/>
      <c r="I490" s="169"/>
    </row>
    <row r="491">
      <c r="D491" s="168"/>
      <c r="H491" s="169"/>
      <c r="I491" s="169"/>
    </row>
    <row r="492">
      <c r="D492" s="168"/>
      <c r="H492" s="169"/>
      <c r="I492" s="169"/>
    </row>
    <row r="493">
      <c r="D493" s="168"/>
      <c r="H493" s="169"/>
      <c r="I493" s="169"/>
    </row>
    <row r="494">
      <c r="D494" s="168"/>
      <c r="H494" s="169"/>
      <c r="I494" s="169"/>
    </row>
    <row r="495">
      <c r="D495" s="168"/>
      <c r="H495" s="169"/>
      <c r="I495" s="169"/>
    </row>
    <row r="496">
      <c r="D496" s="168"/>
      <c r="H496" s="169"/>
      <c r="I496" s="169"/>
    </row>
    <row r="497">
      <c r="D497" s="168"/>
      <c r="H497" s="169"/>
      <c r="I497" s="169"/>
    </row>
    <row r="498">
      <c r="D498" s="168"/>
      <c r="H498" s="169"/>
      <c r="I498" s="169"/>
    </row>
    <row r="499">
      <c r="D499" s="168"/>
      <c r="H499" s="169"/>
      <c r="I499" s="169"/>
    </row>
    <row r="500">
      <c r="D500" s="168"/>
      <c r="H500" s="169"/>
      <c r="I500" s="169"/>
    </row>
    <row r="501">
      <c r="D501" s="168"/>
      <c r="H501" s="169"/>
      <c r="I501" s="169"/>
    </row>
    <row r="502">
      <c r="D502" s="168"/>
      <c r="H502" s="169"/>
      <c r="I502" s="169"/>
    </row>
    <row r="503">
      <c r="D503" s="168"/>
      <c r="H503" s="169"/>
      <c r="I503" s="169"/>
    </row>
    <row r="504">
      <c r="D504" s="168"/>
      <c r="H504" s="169"/>
      <c r="I504" s="169"/>
    </row>
    <row r="505">
      <c r="D505" s="168"/>
      <c r="H505" s="169"/>
      <c r="I505" s="169"/>
    </row>
    <row r="506">
      <c r="D506" s="168"/>
      <c r="H506" s="169"/>
      <c r="I506" s="169"/>
    </row>
    <row r="507">
      <c r="D507" s="168"/>
      <c r="H507" s="169"/>
      <c r="I507" s="169"/>
    </row>
    <row r="508">
      <c r="D508" s="168"/>
      <c r="H508" s="169"/>
      <c r="I508" s="169"/>
    </row>
    <row r="509">
      <c r="D509" s="168"/>
      <c r="H509" s="169"/>
      <c r="I509" s="169"/>
    </row>
    <row r="510">
      <c r="D510" s="168"/>
      <c r="H510" s="169"/>
      <c r="I510" s="169"/>
    </row>
    <row r="511">
      <c r="D511" s="168"/>
      <c r="H511" s="169"/>
      <c r="I511" s="169"/>
    </row>
    <row r="512">
      <c r="D512" s="168"/>
      <c r="H512" s="169"/>
      <c r="I512" s="169"/>
    </row>
    <row r="513">
      <c r="D513" s="168"/>
      <c r="H513" s="169"/>
      <c r="I513" s="169"/>
    </row>
    <row r="514">
      <c r="D514" s="168"/>
      <c r="H514" s="169"/>
      <c r="I514" s="169"/>
    </row>
    <row r="515">
      <c r="D515" s="168"/>
      <c r="H515" s="169"/>
      <c r="I515" s="169"/>
    </row>
    <row r="516">
      <c r="D516" s="168"/>
      <c r="H516" s="169"/>
      <c r="I516" s="169"/>
    </row>
    <row r="517">
      <c r="D517" s="168"/>
      <c r="H517" s="169"/>
      <c r="I517" s="169"/>
    </row>
    <row r="518">
      <c r="D518" s="168"/>
      <c r="H518" s="169"/>
      <c r="I518" s="169"/>
    </row>
    <row r="519">
      <c r="D519" s="168"/>
      <c r="H519" s="169"/>
      <c r="I519" s="169"/>
    </row>
    <row r="520">
      <c r="D520" s="168"/>
      <c r="H520" s="169"/>
      <c r="I520" s="169"/>
    </row>
    <row r="521">
      <c r="D521" s="168"/>
      <c r="H521" s="169"/>
      <c r="I521" s="169"/>
    </row>
    <row r="522">
      <c r="D522" s="168"/>
      <c r="H522" s="169"/>
      <c r="I522" s="169"/>
    </row>
    <row r="523">
      <c r="D523" s="168"/>
      <c r="H523" s="169"/>
      <c r="I523" s="169"/>
    </row>
    <row r="524">
      <c r="D524" s="168"/>
      <c r="H524" s="169"/>
      <c r="I524" s="169"/>
    </row>
    <row r="525">
      <c r="D525" s="168"/>
      <c r="H525" s="169"/>
      <c r="I525" s="169"/>
    </row>
    <row r="526">
      <c r="D526" s="168"/>
      <c r="H526" s="169"/>
      <c r="I526" s="169"/>
    </row>
    <row r="527">
      <c r="D527" s="168"/>
      <c r="H527" s="169"/>
      <c r="I527" s="169"/>
    </row>
    <row r="528">
      <c r="D528" s="168"/>
      <c r="H528" s="169"/>
      <c r="I528" s="169"/>
    </row>
    <row r="529">
      <c r="D529" s="168"/>
      <c r="H529" s="169"/>
      <c r="I529" s="169"/>
    </row>
    <row r="530">
      <c r="D530" s="168"/>
      <c r="H530" s="169"/>
      <c r="I530" s="169"/>
    </row>
    <row r="531">
      <c r="D531" s="168"/>
      <c r="H531" s="169"/>
      <c r="I531" s="169"/>
    </row>
    <row r="532">
      <c r="D532" s="168"/>
      <c r="H532" s="169"/>
      <c r="I532" s="169"/>
    </row>
    <row r="533">
      <c r="D533" s="168"/>
      <c r="H533" s="169"/>
      <c r="I533" s="169"/>
    </row>
    <row r="534">
      <c r="D534" s="168"/>
      <c r="H534" s="169"/>
      <c r="I534" s="169"/>
    </row>
    <row r="535">
      <c r="D535" s="168"/>
      <c r="H535" s="169"/>
      <c r="I535" s="169"/>
    </row>
    <row r="536">
      <c r="D536" s="168"/>
      <c r="H536" s="169"/>
      <c r="I536" s="169"/>
    </row>
    <row r="537">
      <c r="D537" s="168"/>
      <c r="H537" s="169"/>
      <c r="I537" s="169"/>
    </row>
    <row r="538">
      <c r="D538" s="168"/>
      <c r="H538" s="169"/>
      <c r="I538" s="169"/>
    </row>
    <row r="539">
      <c r="D539" s="168"/>
      <c r="H539" s="169"/>
      <c r="I539" s="169"/>
    </row>
    <row r="540">
      <c r="D540" s="168"/>
      <c r="H540" s="169"/>
      <c r="I540" s="169"/>
    </row>
    <row r="541">
      <c r="D541" s="168"/>
      <c r="H541" s="169"/>
      <c r="I541" s="169"/>
    </row>
    <row r="542">
      <c r="D542" s="168"/>
      <c r="H542" s="169"/>
      <c r="I542" s="169"/>
    </row>
    <row r="543">
      <c r="D543" s="168"/>
      <c r="H543" s="169"/>
      <c r="I543" s="169"/>
    </row>
    <row r="544">
      <c r="D544" s="168"/>
      <c r="H544" s="169"/>
      <c r="I544" s="169"/>
    </row>
    <row r="545">
      <c r="D545" s="168"/>
      <c r="H545" s="169"/>
      <c r="I545" s="169"/>
    </row>
    <row r="546">
      <c r="D546" s="168"/>
      <c r="H546" s="169"/>
      <c r="I546" s="169"/>
    </row>
    <row r="547">
      <c r="D547" s="168"/>
      <c r="H547" s="169"/>
      <c r="I547" s="169"/>
    </row>
    <row r="548">
      <c r="D548" s="168"/>
      <c r="H548" s="169"/>
      <c r="I548" s="169"/>
    </row>
    <row r="549">
      <c r="D549" s="168"/>
      <c r="H549" s="169"/>
      <c r="I549" s="169"/>
    </row>
    <row r="550">
      <c r="D550" s="168"/>
      <c r="H550" s="169"/>
      <c r="I550" s="169"/>
    </row>
    <row r="551">
      <c r="D551" s="168"/>
      <c r="H551" s="169"/>
      <c r="I551" s="169"/>
    </row>
    <row r="552">
      <c r="D552" s="168"/>
      <c r="H552" s="169"/>
      <c r="I552" s="169"/>
    </row>
    <row r="553">
      <c r="D553" s="168"/>
      <c r="H553" s="169"/>
      <c r="I553" s="169"/>
    </row>
    <row r="554">
      <c r="D554" s="168"/>
      <c r="H554" s="169"/>
      <c r="I554" s="169"/>
    </row>
    <row r="555">
      <c r="D555" s="168"/>
      <c r="H555" s="169"/>
      <c r="I555" s="169"/>
    </row>
    <row r="556">
      <c r="D556" s="168"/>
      <c r="H556" s="169"/>
      <c r="I556" s="169"/>
    </row>
    <row r="557">
      <c r="D557" s="168"/>
      <c r="H557" s="169"/>
      <c r="I557" s="169"/>
    </row>
    <row r="558">
      <c r="D558" s="168"/>
      <c r="H558" s="169"/>
      <c r="I558" s="169"/>
    </row>
    <row r="559">
      <c r="D559" s="168"/>
      <c r="H559" s="169"/>
      <c r="I559" s="169"/>
    </row>
    <row r="560">
      <c r="D560" s="168"/>
      <c r="H560" s="169"/>
      <c r="I560" s="169"/>
    </row>
    <row r="561">
      <c r="D561" s="168"/>
      <c r="H561" s="169"/>
      <c r="I561" s="169"/>
    </row>
    <row r="562">
      <c r="D562" s="168"/>
      <c r="H562" s="169"/>
      <c r="I562" s="169"/>
    </row>
    <row r="563">
      <c r="D563" s="168"/>
      <c r="H563" s="169"/>
      <c r="I563" s="169"/>
    </row>
    <row r="564">
      <c r="D564" s="168"/>
      <c r="H564" s="169"/>
      <c r="I564" s="169"/>
    </row>
    <row r="565">
      <c r="D565" s="168"/>
      <c r="H565" s="169"/>
      <c r="I565" s="169"/>
    </row>
    <row r="566">
      <c r="D566" s="168"/>
      <c r="H566" s="169"/>
      <c r="I566" s="169"/>
    </row>
    <row r="567">
      <c r="D567" s="168"/>
      <c r="H567" s="169"/>
      <c r="I567" s="169"/>
    </row>
    <row r="568">
      <c r="D568" s="168"/>
      <c r="H568" s="169"/>
      <c r="I568" s="169"/>
    </row>
    <row r="569">
      <c r="D569" s="168"/>
      <c r="H569" s="169"/>
      <c r="I569" s="169"/>
    </row>
    <row r="570">
      <c r="D570" s="168"/>
      <c r="H570" s="169"/>
      <c r="I570" s="169"/>
    </row>
    <row r="571">
      <c r="D571" s="168"/>
      <c r="H571" s="169"/>
      <c r="I571" s="169"/>
    </row>
    <row r="572">
      <c r="D572" s="168"/>
      <c r="H572" s="169"/>
      <c r="I572" s="169"/>
    </row>
    <row r="573">
      <c r="D573" s="168"/>
      <c r="H573" s="169"/>
      <c r="I573" s="169"/>
    </row>
    <row r="574">
      <c r="D574" s="168"/>
      <c r="H574" s="169"/>
      <c r="I574" s="169"/>
    </row>
    <row r="575">
      <c r="D575" s="168"/>
      <c r="H575" s="169"/>
      <c r="I575" s="169"/>
    </row>
    <row r="576">
      <c r="D576" s="168"/>
      <c r="H576" s="169"/>
      <c r="I576" s="169"/>
    </row>
    <row r="577">
      <c r="D577" s="168"/>
      <c r="H577" s="169"/>
      <c r="I577" s="169"/>
    </row>
    <row r="578">
      <c r="D578" s="168"/>
      <c r="H578" s="169"/>
      <c r="I578" s="169"/>
    </row>
    <row r="579">
      <c r="D579" s="168"/>
      <c r="H579" s="169"/>
      <c r="I579" s="169"/>
    </row>
    <row r="580">
      <c r="D580" s="168"/>
      <c r="H580" s="169"/>
      <c r="I580" s="169"/>
    </row>
    <row r="581">
      <c r="D581" s="168"/>
      <c r="H581" s="169"/>
      <c r="I581" s="169"/>
    </row>
    <row r="582">
      <c r="D582" s="168"/>
      <c r="H582" s="169"/>
      <c r="I582" s="169"/>
    </row>
    <row r="583">
      <c r="D583" s="168"/>
      <c r="H583" s="169"/>
      <c r="I583" s="169"/>
    </row>
    <row r="584">
      <c r="D584" s="168"/>
      <c r="H584" s="169"/>
      <c r="I584" s="169"/>
    </row>
    <row r="585">
      <c r="D585" s="168"/>
      <c r="H585" s="169"/>
      <c r="I585" s="169"/>
    </row>
    <row r="586">
      <c r="D586" s="168"/>
      <c r="H586" s="169"/>
      <c r="I586" s="169"/>
    </row>
    <row r="587">
      <c r="D587" s="168"/>
      <c r="H587" s="169"/>
      <c r="I587" s="169"/>
    </row>
    <row r="588">
      <c r="D588" s="168"/>
      <c r="H588" s="169"/>
      <c r="I588" s="169"/>
    </row>
    <row r="589">
      <c r="D589" s="168"/>
      <c r="H589" s="169"/>
      <c r="I589" s="169"/>
    </row>
    <row r="590">
      <c r="D590" s="168"/>
      <c r="H590" s="169"/>
      <c r="I590" s="169"/>
    </row>
    <row r="591">
      <c r="D591" s="168"/>
      <c r="H591" s="169"/>
      <c r="I591" s="169"/>
    </row>
    <row r="592">
      <c r="D592" s="168"/>
      <c r="H592" s="169"/>
      <c r="I592" s="169"/>
    </row>
    <row r="593">
      <c r="D593" s="168"/>
      <c r="H593" s="169"/>
      <c r="I593" s="169"/>
    </row>
    <row r="594">
      <c r="D594" s="168"/>
      <c r="H594" s="169"/>
      <c r="I594" s="169"/>
    </row>
    <row r="595">
      <c r="D595" s="168"/>
      <c r="H595" s="169"/>
      <c r="I595" s="169"/>
    </row>
    <row r="596">
      <c r="D596" s="168"/>
      <c r="H596" s="169"/>
      <c r="I596" s="169"/>
    </row>
    <row r="597">
      <c r="D597" s="168"/>
      <c r="H597" s="169"/>
      <c r="I597" s="169"/>
    </row>
    <row r="598">
      <c r="D598" s="168"/>
      <c r="H598" s="169"/>
      <c r="I598" s="169"/>
    </row>
    <row r="599">
      <c r="D599" s="168"/>
      <c r="H599" s="169"/>
      <c r="I599" s="169"/>
    </row>
    <row r="600">
      <c r="D600" s="168"/>
      <c r="H600" s="169"/>
      <c r="I600" s="169"/>
    </row>
    <row r="601">
      <c r="D601" s="168"/>
      <c r="H601" s="169"/>
      <c r="I601" s="169"/>
    </row>
    <row r="602">
      <c r="D602" s="168"/>
      <c r="H602" s="169"/>
      <c r="I602" s="169"/>
    </row>
    <row r="603">
      <c r="D603" s="168"/>
      <c r="H603" s="169"/>
      <c r="I603" s="169"/>
    </row>
    <row r="604">
      <c r="D604" s="168"/>
      <c r="H604" s="169"/>
      <c r="I604" s="169"/>
    </row>
    <row r="605">
      <c r="D605" s="168"/>
      <c r="H605" s="169"/>
      <c r="I605" s="169"/>
    </row>
    <row r="606">
      <c r="D606" s="168"/>
      <c r="H606" s="169"/>
      <c r="I606" s="169"/>
    </row>
    <row r="607">
      <c r="D607" s="168"/>
      <c r="H607" s="169"/>
      <c r="I607" s="169"/>
    </row>
    <row r="608">
      <c r="D608" s="168"/>
      <c r="H608" s="169"/>
      <c r="I608" s="169"/>
    </row>
    <row r="609">
      <c r="D609" s="168"/>
      <c r="H609" s="169"/>
      <c r="I609" s="169"/>
    </row>
    <row r="610">
      <c r="D610" s="168"/>
      <c r="H610" s="169"/>
      <c r="I610" s="169"/>
    </row>
    <row r="611">
      <c r="D611" s="168"/>
      <c r="H611" s="169"/>
      <c r="I611" s="169"/>
    </row>
    <row r="612">
      <c r="D612" s="168"/>
      <c r="H612" s="169"/>
      <c r="I612" s="169"/>
    </row>
    <row r="613">
      <c r="D613" s="168"/>
      <c r="H613" s="169"/>
      <c r="I613" s="169"/>
    </row>
    <row r="614">
      <c r="D614" s="168"/>
      <c r="H614" s="169"/>
      <c r="I614" s="169"/>
    </row>
    <row r="615">
      <c r="D615" s="168"/>
      <c r="H615" s="169"/>
      <c r="I615" s="169"/>
    </row>
    <row r="616">
      <c r="D616" s="168"/>
      <c r="H616" s="169"/>
      <c r="I616" s="169"/>
    </row>
    <row r="617">
      <c r="D617" s="168"/>
      <c r="H617" s="169"/>
      <c r="I617" s="169"/>
    </row>
    <row r="618">
      <c r="D618" s="168"/>
      <c r="H618" s="169"/>
      <c r="I618" s="169"/>
    </row>
    <row r="619">
      <c r="D619" s="168"/>
      <c r="H619" s="169"/>
      <c r="I619" s="169"/>
    </row>
    <row r="620">
      <c r="D620" s="168"/>
      <c r="H620" s="169"/>
      <c r="I620" s="169"/>
    </row>
    <row r="621">
      <c r="D621" s="168"/>
      <c r="H621" s="169"/>
      <c r="I621" s="169"/>
    </row>
    <row r="622">
      <c r="D622" s="168"/>
      <c r="H622" s="169"/>
      <c r="I622" s="169"/>
    </row>
    <row r="623">
      <c r="D623" s="168"/>
      <c r="H623" s="169"/>
      <c r="I623" s="169"/>
    </row>
    <row r="624">
      <c r="D624" s="168"/>
      <c r="H624" s="169"/>
      <c r="I624" s="169"/>
    </row>
    <row r="625">
      <c r="D625" s="168"/>
      <c r="H625" s="169"/>
      <c r="I625" s="169"/>
    </row>
    <row r="626">
      <c r="D626" s="168"/>
      <c r="H626" s="169"/>
      <c r="I626" s="169"/>
    </row>
    <row r="627">
      <c r="D627" s="168"/>
      <c r="H627" s="169"/>
      <c r="I627" s="169"/>
    </row>
    <row r="628">
      <c r="D628" s="168"/>
      <c r="H628" s="169"/>
      <c r="I628" s="169"/>
    </row>
    <row r="629">
      <c r="D629" s="168"/>
      <c r="H629" s="169"/>
      <c r="I629" s="169"/>
    </row>
    <row r="630">
      <c r="D630" s="168"/>
      <c r="H630" s="169"/>
      <c r="I630" s="169"/>
    </row>
    <row r="631">
      <c r="D631" s="168"/>
      <c r="H631" s="169"/>
      <c r="I631" s="169"/>
    </row>
    <row r="632">
      <c r="D632" s="168"/>
      <c r="H632" s="169"/>
      <c r="I632" s="169"/>
    </row>
    <row r="633">
      <c r="D633" s="168"/>
      <c r="H633" s="169"/>
      <c r="I633" s="169"/>
    </row>
    <row r="634">
      <c r="D634" s="168"/>
      <c r="H634" s="169"/>
      <c r="I634" s="169"/>
    </row>
    <row r="635">
      <c r="D635" s="168"/>
      <c r="H635" s="169"/>
      <c r="I635" s="169"/>
    </row>
    <row r="636">
      <c r="D636" s="168"/>
      <c r="H636" s="169"/>
      <c r="I636" s="169"/>
    </row>
    <row r="637">
      <c r="D637" s="168"/>
      <c r="H637" s="169"/>
      <c r="I637" s="169"/>
    </row>
    <row r="638">
      <c r="D638" s="168"/>
      <c r="H638" s="169"/>
      <c r="I638" s="169"/>
    </row>
    <row r="639">
      <c r="D639" s="168"/>
      <c r="H639" s="169"/>
      <c r="I639" s="169"/>
    </row>
    <row r="640">
      <c r="D640" s="168"/>
      <c r="H640" s="169"/>
      <c r="I640" s="169"/>
    </row>
    <row r="641">
      <c r="D641" s="168"/>
      <c r="H641" s="169"/>
      <c r="I641" s="169"/>
    </row>
    <row r="642">
      <c r="D642" s="168"/>
      <c r="H642" s="169"/>
      <c r="I642" s="169"/>
    </row>
    <row r="643">
      <c r="D643" s="168"/>
      <c r="H643" s="169"/>
      <c r="I643" s="169"/>
    </row>
    <row r="644">
      <c r="D644" s="168"/>
      <c r="H644" s="169"/>
      <c r="I644" s="169"/>
    </row>
    <row r="645">
      <c r="D645" s="168"/>
      <c r="H645" s="169"/>
      <c r="I645" s="169"/>
    </row>
    <row r="646">
      <c r="D646" s="168"/>
      <c r="H646" s="169"/>
      <c r="I646" s="169"/>
    </row>
    <row r="647">
      <c r="D647" s="168"/>
      <c r="H647" s="169"/>
      <c r="I647" s="169"/>
    </row>
    <row r="648">
      <c r="D648" s="168"/>
      <c r="H648" s="169"/>
      <c r="I648" s="169"/>
    </row>
    <row r="649">
      <c r="D649" s="168"/>
      <c r="H649" s="169"/>
      <c r="I649" s="169"/>
    </row>
    <row r="650">
      <c r="D650" s="168"/>
      <c r="H650" s="169"/>
      <c r="I650" s="169"/>
    </row>
    <row r="651">
      <c r="D651" s="168"/>
      <c r="H651" s="169"/>
      <c r="I651" s="169"/>
    </row>
    <row r="652">
      <c r="D652" s="168"/>
      <c r="H652" s="169"/>
      <c r="I652" s="169"/>
    </row>
    <row r="653">
      <c r="D653" s="168"/>
      <c r="H653" s="169"/>
      <c r="I653" s="169"/>
    </row>
    <row r="654">
      <c r="D654" s="168"/>
      <c r="H654" s="169"/>
      <c r="I654" s="169"/>
    </row>
    <row r="655">
      <c r="D655" s="168"/>
      <c r="H655" s="169"/>
      <c r="I655" s="169"/>
    </row>
    <row r="656">
      <c r="D656" s="168"/>
      <c r="H656" s="169"/>
      <c r="I656" s="169"/>
    </row>
    <row r="657">
      <c r="D657" s="168"/>
      <c r="H657" s="169"/>
      <c r="I657" s="169"/>
    </row>
    <row r="658">
      <c r="D658" s="168"/>
      <c r="H658" s="169"/>
      <c r="I658" s="169"/>
    </row>
    <row r="659">
      <c r="D659" s="168"/>
      <c r="H659" s="169"/>
      <c r="I659" s="169"/>
    </row>
    <row r="660">
      <c r="D660" s="168"/>
      <c r="H660" s="169"/>
      <c r="I660" s="169"/>
    </row>
    <row r="661">
      <c r="D661" s="168"/>
      <c r="H661" s="169"/>
      <c r="I661" s="169"/>
    </row>
    <row r="662">
      <c r="D662" s="168"/>
      <c r="H662" s="169"/>
      <c r="I662" s="169"/>
    </row>
    <row r="663">
      <c r="D663" s="168"/>
      <c r="H663" s="169"/>
      <c r="I663" s="169"/>
    </row>
    <row r="664">
      <c r="D664" s="168"/>
      <c r="H664" s="169"/>
      <c r="I664" s="169"/>
    </row>
    <row r="665">
      <c r="D665" s="168"/>
      <c r="H665" s="169"/>
      <c r="I665" s="169"/>
    </row>
    <row r="666">
      <c r="D666" s="168"/>
      <c r="H666" s="169"/>
      <c r="I666" s="169"/>
    </row>
    <row r="667">
      <c r="D667" s="168"/>
      <c r="H667" s="169"/>
      <c r="I667" s="169"/>
    </row>
    <row r="668">
      <c r="D668" s="168"/>
      <c r="H668" s="169"/>
      <c r="I668" s="169"/>
    </row>
    <row r="669">
      <c r="D669" s="168"/>
      <c r="H669" s="169"/>
      <c r="I669" s="169"/>
    </row>
    <row r="670">
      <c r="D670" s="168"/>
      <c r="H670" s="169"/>
      <c r="I670" s="169"/>
    </row>
    <row r="671">
      <c r="D671" s="168"/>
      <c r="H671" s="169"/>
      <c r="I671" s="169"/>
    </row>
    <row r="672">
      <c r="D672" s="168"/>
      <c r="H672" s="169"/>
      <c r="I672" s="169"/>
    </row>
    <row r="673">
      <c r="D673" s="168"/>
      <c r="H673" s="169"/>
      <c r="I673" s="169"/>
    </row>
    <row r="674">
      <c r="D674" s="168"/>
      <c r="H674" s="169"/>
      <c r="I674" s="169"/>
    </row>
    <row r="675">
      <c r="D675" s="168"/>
      <c r="H675" s="169"/>
      <c r="I675" s="169"/>
    </row>
    <row r="676">
      <c r="D676" s="168"/>
      <c r="H676" s="169"/>
      <c r="I676" s="169"/>
    </row>
    <row r="677">
      <c r="D677" s="168"/>
      <c r="H677" s="169"/>
      <c r="I677" s="169"/>
    </row>
    <row r="678">
      <c r="D678" s="168"/>
      <c r="H678" s="169"/>
      <c r="I678" s="169"/>
    </row>
    <row r="679">
      <c r="D679" s="168"/>
      <c r="H679" s="169"/>
      <c r="I679" s="169"/>
    </row>
    <row r="680">
      <c r="D680" s="168"/>
      <c r="H680" s="169"/>
      <c r="I680" s="169"/>
    </row>
    <row r="681">
      <c r="D681" s="168"/>
      <c r="H681" s="169"/>
      <c r="I681" s="169"/>
    </row>
    <row r="682">
      <c r="D682" s="168"/>
      <c r="H682" s="169"/>
      <c r="I682" s="169"/>
    </row>
    <row r="683">
      <c r="D683" s="168"/>
      <c r="H683" s="169"/>
      <c r="I683" s="169"/>
    </row>
    <row r="684">
      <c r="D684" s="168"/>
      <c r="H684" s="169"/>
      <c r="I684" s="169"/>
    </row>
    <row r="685">
      <c r="D685" s="168"/>
      <c r="H685" s="169"/>
      <c r="I685" s="169"/>
    </row>
    <row r="686">
      <c r="D686" s="168"/>
      <c r="H686" s="169"/>
      <c r="I686" s="169"/>
    </row>
    <row r="687">
      <c r="D687" s="168"/>
      <c r="H687" s="169"/>
      <c r="I687" s="169"/>
    </row>
    <row r="688">
      <c r="D688" s="168"/>
      <c r="H688" s="169"/>
      <c r="I688" s="169"/>
    </row>
    <row r="689">
      <c r="D689" s="168"/>
      <c r="H689" s="169"/>
      <c r="I689" s="169"/>
    </row>
    <row r="690">
      <c r="D690" s="168"/>
      <c r="H690" s="169"/>
      <c r="I690" s="169"/>
    </row>
    <row r="691">
      <c r="D691" s="168"/>
      <c r="H691" s="169"/>
      <c r="I691" s="169"/>
    </row>
    <row r="692">
      <c r="D692" s="168"/>
      <c r="H692" s="169"/>
      <c r="I692" s="169"/>
    </row>
    <row r="693">
      <c r="D693" s="168"/>
      <c r="H693" s="169"/>
      <c r="I693" s="169"/>
    </row>
    <row r="694">
      <c r="D694" s="168"/>
      <c r="H694" s="169"/>
      <c r="I694" s="169"/>
    </row>
    <row r="695">
      <c r="D695" s="168"/>
      <c r="H695" s="169"/>
      <c r="I695" s="169"/>
    </row>
    <row r="696">
      <c r="D696" s="168"/>
      <c r="H696" s="169"/>
      <c r="I696" s="169"/>
    </row>
    <row r="697">
      <c r="D697" s="168"/>
      <c r="H697" s="169"/>
      <c r="I697" s="169"/>
    </row>
    <row r="698">
      <c r="D698" s="168"/>
      <c r="H698" s="169"/>
      <c r="I698" s="169"/>
    </row>
    <row r="699">
      <c r="D699" s="168"/>
      <c r="H699" s="169"/>
      <c r="I699" s="169"/>
    </row>
    <row r="700">
      <c r="D700" s="168"/>
      <c r="H700" s="169"/>
      <c r="I700" s="169"/>
    </row>
    <row r="701">
      <c r="D701" s="168"/>
      <c r="H701" s="169"/>
      <c r="I701" s="169"/>
    </row>
    <row r="702">
      <c r="D702" s="168"/>
      <c r="H702" s="169"/>
      <c r="I702" s="169"/>
    </row>
    <row r="703">
      <c r="D703" s="168"/>
      <c r="H703" s="169"/>
      <c r="I703" s="169"/>
    </row>
    <row r="704">
      <c r="D704" s="168"/>
      <c r="H704" s="169"/>
      <c r="I704" s="169"/>
    </row>
    <row r="705">
      <c r="D705" s="168"/>
      <c r="H705" s="169"/>
      <c r="I705" s="169"/>
    </row>
    <row r="706">
      <c r="D706" s="168"/>
      <c r="H706" s="169"/>
      <c r="I706" s="169"/>
    </row>
    <row r="707">
      <c r="D707" s="168"/>
      <c r="H707" s="169"/>
      <c r="I707" s="169"/>
    </row>
    <row r="708">
      <c r="D708" s="168"/>
      <c r="H708" s="169"/>
      <c r="I708" s="169"/>
    </row>
    <row r="709">
      <c r="D709" s="168"/>
      <c r="H709" s="169"/>
      <c r="I709" s="169"/>
    </row>
    <row r="710">
      <c r="D710" s="168"/>
      <c r="H710" s="169"/>
      <c r="I710" s="169"/>
    </row>
    <row r="711">
      <c r="D711" s="168"/>
      <c r="H711" s="169"/>
      <c r="I711" s="169"/>
    </row>
    <row r="712">
      <c r="D712" s="168"/>
      <c r="H712" s="169"/>
      <c r="I712" s="169"/>
    </row>
    <row r="713">
      <c r="D713" s="168"/>
      <c r="H713" s="169"/>
      <c r="I713" s="169"/>
    </row>
    <row r="714">
      <c r="D714" s="168"/>
      <c r="H714" s="169"/>
      <c r="I714" s="169"/>
    </row>
    <row r="715">
      <c r="D715" s="168"/>
      <c r="H715" s="169"/>
      <c r="I715" s="169"/>
    </row>
    <row r="716">
      <c r="D716" s="168"/>
      <c r="H716" s="169"/>
      <c r="I716" s="169"/>
    </row>
    <row r="717">
      <c r="D717" s="168"/>
      <c r="H717" s="169"/>
      <c r="I717" s="169"/>
    </row>
    <row r="718">
      <c r="D718" s="168"/>
      <c r="H718" s="169"/>
      <c r="I718" s="169"/>
    </row>
    <row r="719">
      <c r="D719" s="168"/>
      <c r="H719" s="169"/>
      <c r="I719" s="169"/>
    </row>
    <row r="720">
      <c r="D720" s="168"/>
      <c r="H720" s="169"/>
      <c r="I720" s="169"/>
    </row>
    <row r="721">
      <c r="D721" s="168"/>
      <c r="H721" s="169"/>
      <c r="I721" s="169"/>
    </row>
    <row r="722">
      <c r="D722" s="168"/>
      <c r="H722" s="169"/>
      <c r="I722" s="169"/>
    </row>
    <row r="723">
      <c r="D723" s="168"/>
      <c r="H723" s="169"/>
      <c r="I723" s="169"/>
    </row>
    <row r="724">
      <c r="D724" s="168"/>
      <c r="H724" s="169"/>
      <c r="I724" s="169"/>
    </row>
    <row r="725">
      <c r="D725" s="168"/>
      <c r="H725" s="169"/>
      <c r="I725" s="169"/>
    </row>
    <row r="726">
      <c r="D726" s="168"/>
      <c r="H726" s="169"/>
      <c r="I726" s="169"/>
    </row>
    <row r="727">
      <c r="D727" s="168"/>
      <c r="H727" s="169"/>
      <c r="I727" s="169"/>
    </row>
    <row r="728">
      <c r="D728" s="168"/>
      <c r="H728" s="169"/>
      <c r="I728" s="169"/>
    </row>
    <row r="729">
      <c r="D729" s="168"/>
      <c r="H729" s="169"/>
      <c r="I729" s="169"/>
    </row>
    <row r="730">
      <c r="D730" s="168"/>
      <c r="H730" s="169"/>
      <c r="I730" s="169"/>
    </row>
    <row r="731">
      <c r="D731" s="168"/>
      <c r="H731" s="169"/>
      <c r="I731" s="169"/>
    </row>
    <row r="732">
      <c r="D732" s="168"/>
      <c r="H732" s="169"/>
      <c r="I732" s="169"/>
    </row>
    <row r="733">
      <c r="D733" s="168"/>
      <c r="H733" s="169"/>
      <c r="I733" s="169"/>
    </row>
    <row r="734">
      <c r="D734" s="168"/>
      <c r="H734" s="169"/>
      <c r="I734" s="169"/>
    </row>
    <row r="735">
      <c r="D735" s="168"/>
      <c r="H735" s="169"/>
      <c r="I735" s="169"/>
    </row>
    <row r="736">
      <c r="D736" s="168"/>
      <c r="H736" s="169"/>
      <c r="I736" s="169"/>
    </row>
    <row r="737">
      <c r="D737" s="168"/>
      <c r="H737" s="169"/>
      <c r="I737" s="169"/>
    </row>
    <row r="738">
      <c r="D738" s="168"/>
      <c r="H738" s="169"/>
      <c r="I738" s="169"/>
    </row>
    <row r="739">
      <c r="D739" s="168"/>
      <c r="H739" s="169"/>
      <c r="I739" s="169"/>
    </row>
    <row r="740">
      <c r="D740" s="168"/>
      <c r="H740" s="169"/>
      <c r="I740" s="169"/>
    </row>
    <row r="741">
      <c r="D741" s="168"/>
      <c r="H741" s="169"/>
      <c r="I741" s="169"/>
    </row>
    <row r="742">
      <c r="D742" s="168"/>
      <c r="H742" s="169"/>
      <c r="I742" s="169"/>
    </row>
    <row r="743">
      <c r="D743" s="168"/>
      <c r="H743" s="169"/>
      <c r="I743" s="169"/>
    </row>
    <row r="744">
      <c r="D744" s="168"/>
      <c r="H744" s="169"/>
      <c r="I744" s="169"/>
    </row>
    <row r="745">
      <c r="D745" s="168"/>
      <c r="H745" s="169"/>
      <c r="I745" s="169"/>
    </row>
    <row r="746">
      <c r="D746" s="168"/>
      <c r="H746" s="169"/>
      <c r="I746" s="169"/>
    </row>
    <row r="747">
      <c r="D747" s="168"/>
      <c r="H747" s="169"/>
      <c r="I747" s="169"/>
    </row>
    <row r="748">
      <c r="D748" s="168"/>
      <c r="H748" s="169"/>
      <c r="I748" s="169"/>
    </row>
    <row r="749">
      <c r="D749" s="168"/>
      <c r="H749" s="169"/>
      <c r="I749" s="169"/>
    </row>
    <row r="750">
      <c r="D750" s="168"/>
      <c r="H750" s="169"/>
      <c r="I750" s="169"/>
    </row>
    <row r="751">
      <c r="D751" s="168"/>
      <c r="H751" s="169"/>
      <c r="I751" s="169"/>
    </row>
    <row r="752">
      <c r="D752" s="168"/>
      <c r="H752" s="169"/>
      <c r="I752" s="169"/>
    </row>
    <row r="753">
      <c r="D753" s="168"/>
      <c r="H753" s="169"/>
      <c r="I753" s="169"/>
    </row>
    <row r="754">
      <c r="D754" s="168"/>
      <c r="H754" s="169"/>
      <c r="I754" s="169"/>
    </row>
    <row r="755">
      <c r="D755" s="168"/>
      <c r="H755" s="169"/>
      <c r="I755" s="169"/>
    </row>
    <row r="756">
      <c r="D756" s="168"/>
      <c r="H756" s="169"/>
      <c r="I756" s="169"/>
    </row>
    <row r="757">
      <c r="D757" s="168"/>
      <c r="H757" s="169"/>
      <c r="I757" s="169"/>
    </row>
    <row r="758">
      <c r="D758" s="168"/>
      <c r="H758" s="169"/>
      <c r="I758" s="169"/>
    </row>
    <row r="759">
      <c r="D759" s="168"/>
      <c r="H759" s="169"/>
      <c r="I759" s="169"/>
    </row>
    <row r="760">
      <c r="D760" s="168"/>
      <c r="H760" s="169"/>
      <c r="I760" s="169"/>
    </row>
    <row r="761">
      <c r="D761" s="168"/>
      <c r="H761" s="169"/>
      <c r="I761" s="169"/>
    </row>
    <row r="762">
      <c r="D762" s="168"/>
      <c r="H762" s="169"/>
      <c r="I762" s="169"/>
    </row>
    <row r="763">
      <c r="D763" s="168"/>
      <c r="H763" s="169"/>
      <c r="I763" s="169"/>
    </row>
    <row r="764">
      <c r="D764" s="168"/>
      <c r="H764" s="169"/>
      <c r="I764" s="169"/>
    </row>
    <row r="765">
      <c r="D765" s="168"/>
      <c r="H765" s="169"/>
      <c r="I765" s="169"/>
    </row>
    <row r="766">
      <c r="D766" s="168"/>
      <c r="H766" s="169"/>
      <c r="I766" s="169"/>
    </row>
    <row r="767">
      <c r="D767" s="168"/>
      <c r="H767" s="169"/>
      <c r="I767" s="169"/>
    </row>
    <row r="768">
      <c r="D768" s="168"/>
      <c r="H768" s="169"/>
      <c r="I768" s="169"/>
    </row>
    <row r="769">
      <c r="D769" s="168"/>
      <c r="H769" s="169"/>
      <c r="I769" s="169"/>
    </row>
    <row r="770">
      <c r="D770" s="168"/>
      <c r="H770" s="169"/>
      <c r="I770" s="169"/>
    </row>
    <row r="771">
      <c r="D771" s="168"/>
      <c r="H771" s="169"/>
      <c r="I771" s="169"/>
    </row>
    <row r="772">
      <c r="D772" s="168"/>
      <c r="H772" s="169"/>
      <c r="I772" s="169"/>
    </row>
    <row r="773">
      <c r="D773" s="168"/>
      <c r="H773" s="169"/>
      <c r="I773" s="169"/>
    </row>
    <row r="774">
      <c r="D774" s="168"/>
      <c r="H774" s="169"/>
      <c r="I774" s="169"/>
    </row>
    <row r="775">
      <c r="D775" s="168"/>
      <c r="H775" s="169"/>
      <c r="I775" s="169"/>
    </row>
    <row r="776">
      <c r="D776" s="168"/>
      <c r="H776" s="169"/>
      <c r="I776" s="169"/>
    </row>
    <row r="777">
      <c r="D777" s="168"/>
      <c r="H777" s="169"/>
      <c r="I777" s="169"/>
    </row>
    <row r="778">
      <c r="D778" s="168"/>
      <c r="H778" s="169"/>
      <c r="I778" s="169"/>
    </row>
    <row r="779">
      <c r="D779" s="168"/>
      <c r="H779" s="169"/>
      <c r="I779" s="169"/>
    </row>
    <row r="780">
      <c r="D780" s="168"/>
      <c r="H780" s="169"/>
      <c r="I780" s="169"/>
    </row>
    <row r="781">
      <c r="D781" s="168"/>
      <c r="H781" s="169"/>
      <c r="I781" s="169"/>
    </row>
    <row r="782">
      <c r="D782" s="168"/>
      <c r="H782" s="169"/>
      <c r="I782" s="169"/>
    </row>
    <row r="783">
      <c r="D783" s="168"/>
      <c r="H783" s="169"/>
      <c r="I783" s="169"/>
    </row>
    <row r="784">
      <c r="D784" s="168"/>
      <c r="H784" s="169"/>
      <c r="I784" s="169"/>
    </row>
    <row r="785">
      <c r="D785" s="168"/>
      <c r="H785" s="169"/>
      <c r="I785" s="169"/>
    </row>
    <row r="786">
      <c r="D786" s="168"/>
      <c r="H786" s="169"/>
      <c r="I786" s="169"/>
    </row>
    <row r="787">
      <c r="D787" s="168"/>
      <c r="H787" s="169"/>
      <c r="I787" s="169"/>
    </row>
    <row r="788">
      <c r="D788" s="168"/>
      <c r="H788" s="169"/>
      <c r="I788" s="169"/>
    </row>
    <row r="789">
      <c r="D789" s="168"/>
      <c r="H789" s="169"/>
      <c r="I789" s="169"/>
    </row>
    <row r="790">
      <c r="D790" s="168"/>
      <c r="H790" s="169"/>
      <c r="I790" s="169"/>
    </row>
    <row r="791">
      <c r="D791" s="168"/>
      <c r="H791" s="169"/>
      <c r="I791" s="169"/>
    </row>
    <row r="792">
      <c r="D792" s="168"/>
      <c r="H792" s="169"/>
      <c r="I792" s="169"/>
    </row>
    <row r="793">
      <c r="D793" s="168"/>
      <c r="H793" s="169"/>
      <c r="I793" s="169"/>
    </row>
    <row r="794">
      <c r="D794" s="168"/>
      <c r="H794" s="169"/>
      <c r="I794" s="169"/>
    </row>
    <row r="795">
      <c r="D795" s="168"/>
      <c r="H795" s="169"/>
      <c r="I795" s="169"/>
    </row>
    <row r="796">
      <c r="D796" s="168"/>
      <c r="H796" s="169"/>
      <c r="I796" s="169"/>
    </row>
    <row r="797">
      <c r="D797" s="168"/>
      <c r="H797" s="169"/>
      <c r="I797" s="169"/>
    </row>
    <row r="798">
      <c r="D798" s="168"/>
      <c r="H798" s="169"/>
      <c r="I798" s="169"/>
    </row>
    <row r="799">
      <c r="D799" s="168"/>
      <c r="H799" s="169"/>
      <c r="I799" s="169"/>
    </row>
    <row r="800">
      <c r="D800" s="168"/>
      <c r="H800" s="169"/>
      <c r="I800" s="169"/>
    </row>
    <row r="801">
      <c r="D801" s="168"/>
      <c r="H801" s="169"/>
      <c r="I801" s="169"/>
    </row>
    <row r="802">
      <c r="D802" s="168"/>
      <c r="H802" s="169"/>
      <c r="I802" s="169"/>
    </row>
    <row r="803">
      <c r="D803" s="168"/>
      <c r="H803" s="169"/>
      <c r="I803" s="169"/>
    </row>
    <row r="804">
      <c r="D804" s="168"/>
      <c r="H804" s="169"/>
      <c r="I804" s="169"/>
    </row>
    <row r="805">
      <c r="D805" s="168"/>
      <c r="H805" s="169"/>
      <c r="I805" s="169"/>
    </row>
    <row r="806">
      <c r="D806" s="168"/>
      <c r="H806" s="169"/>
      <c r="I806" s="169"/>
    </row>
    <row r="807">
      <c r="D807" s="168"/>
      <c r="H807" s="169"/>
      <c r="I807" s="169"/>
    </row>
    <row r="808">
      <c r="D808" s="168"/>
      <c r="H808" s="169"/>
      <c r="I808" s="169"/>
    </row>
    <row r="809">
      <c r="D809" s="168"/>
      <c r="H809" s="169"/>
      <c r="I809" s="169"/>
    </row>
    <row r="810">
      <c r="D810" s="168"/>
      <c r="H810" s="169"/>
      <c r="I810" s="169"/>
    </row>
    <row r="811">
      <c r="D811" s="168"/>
      <c r="H811" s="169"/>
      <c r="I811" s="169"/>
    </row>
    <row r="812">
      <c r="D812" s="168"/>
      <c r="H812" s="169"/>
      <c r="I812" s="169"/>
    </row>
    <row r="813">
      <c r="D813" s="168"/>
      <c r="H813" s="169"/>
      <c r="I813" s="169"/>
    </row>
    <row r="814">
      <c r="D814" s="168"/>
      <c r="H814" s="169"/>
      <c r="I814" s="169"/>
    </row>
    <row r="815">
      <c r="D815" s="168"/>
      <c r="H815" s="169"/>
      <c r="I815" s="169"/>
    </row>
    <row r="816">
      <c r="D816" s="168"/>
      <c r="H816" s="169"/>
      <c r="I816" s="169"/>
    </row>
    <row r="817">
      <c r="D817" s="168"/>
      <c r="H817" s="169"/>
      <c r="I817" s="169"/>
    </row>
    <row r="818">
      <c r="D818" s="168"/>
      <c r="H818" s="169"/>
      <c r="I818" s="169"/>
    </row>
    <row r="819">
      <c r="D819" s="168"/>
      <c r="H819" s="169"/>
      <c r="I819" s="169"/>
    </row>
    <row r="820">
      <c r="D820" s="168"/>
      <c r="H820" s="169"/>
      <c r="I820" s="169"/>
    </row>
    <row r="821">
      <c r="D821" s="168"/>
      <c r="H821" s="169"/>
      <c r="I821" s="169"/>
    </row>
    <row r="822">
      <c r="D822" s="168"/>
      <c r="H822" s="169"/>
      <c r="I822" s="169"/>
    </row>
    <row r="823">
      <c r="D823" s="168"/>
      <c r="H823" s="169"/>
      <c r="I823" s="169"/>
    </row>
    <row r="824">
      <c r="D824" s="168"/>
      <c r="H824" s="169"/>
      <c r="I824" s="169"/>
    </row>
    <row r="825">
      <c r="D825" s="168"/>
      <c r="H825" s="169"/>
      <c r="I825" s="169"/>
    </row>
    <row r="826">
      <c r="D826" s="168"/>
      <c r="H826" s="169"/>
      <c r="I826" s="169"/>
    </row>
    <row r="827">
      <c r="D827" s="168"/>
      <c r="H827" s="169"/>
      <c r="I827" s="169"/>
    </row>
    <row r="828">
      <c r="D828" s="168"/>
      <c r="H828" s="169"/>
      <c r="I828" s="169"/>
    </row>
    <row r="829">
      <c r="D829" s="168"/>
      <c r="H829" s="169"/>
      <c r="I829" s="169"/>
    </row>
    <row r="830">
      <c r="D830" s="168"/>
      <c r="H830" s="169"/>
      <c r="I830" s="169"/>
    </row>
    <row r="831">
      <c r="D831" s="168"/>
      <c r="H831" s="169"/>
      <c r="I831" s="169"/>
    </row>
    <row r="832">
      <c r="D832" s="168"/>
      <c r="H832" s="169"/>
      <c r="I832" s="169"/>
    </row>
    <row r="833">
      <c r="D833" s="168"/>
      <c r="H833" s="169"/>
      <c r="I833" s="169"/>
    </row>
    <row r="834">
      <c r="D834" s="168"/>
      <c r="H834" s="169"/>
      <c r="I834" s="169"/>
    </row>
    <row r="835">
      <c r="D835" s="168"/>
      <c r="H835" s="169"/>
      <c r="I835" s="169"/>
    </row>
    <row r="836">
      <c r="D836" s="168"/>
      <c r="H836" s="169"/>
      <c r="I836" s="169"/>
    </row>
    <row r="837">
      <c r="D837" s="168"/>
      <c r="H837" s="169"/>
      <c r="I837" s="169"/>
    </row>
    <row r="838">
      <c r="D838" s="168"/>
      <c r="H838" s="169"/>
      <c r="I838" s="169"/>
    </row>
    <row r="839">
      <c r="D839" s="168"/>
      <c r="H839" s="169"/>
      <c r="I839" s="169"/>
    </row>
    <row r="840">
      <c r="D840" s="168"/>
      <c r="H840" s="169"/>
      <c r="I840" s="169"/>
    </row>
    <row r="841">
      <c r="D841" s="168"/>
      <c r="H841" s="169"/>
      <c r="I841" s="169"/>
    </row>
    <row r="842">
      <c r="D842" s="168"/>
      <c r="H842" s="169"/>
      <c r="I842" s="169"/>
    </row>
    <row r="843">
      <c r="D843" s="168"/>
      <c r="H843" s="169"/>
      <c r="I843" s="169"/>
    </row>
    <row r="844">
      <c r="D844" s="168"/>
      <c r="H844" s="169"/>
      <c r="I844" s="169"/>
    </row>
    <row r="845">
      <c r="D845" s="168"/>
      <c r="H845" s="169"/>
      <c r="I845" s="169"/>
    </row>
    <row r="846">
      <c r="D846" s="168"/>
      <c r="H846" s="169"/>
      <c r="I846" s="169"/>
    </row>
    <row r="847">
      <c r="D847" s="168"/>
      <c r="H847" s="169"/>
      <c r="I847" s="169"/>
    </row>
    <row r="848">
      <c r="D848" s="168"/>
      <c r="H848" s="169"/>
      <c r="I848" s="169"/>
    </row>
    <row r="849">
      <c r="D849" s="168"/>
      <c r="H849" s="169"/>
      <c r="I849" s="169"/>
    </row>
    <row r="850">
      <c r="D850" s="168"/>
      <c r="H850" s="169"/>
      <c r="I850" s="169"/>
    </row>
    <row r="851">
      <c r="D851" s="168"/>
      <c r="H851" s="169"/>
      <c r="I851" s="169"/>
    </row>
    <row r="852">
      <c r="D852" s="168"/>
      <c r="H852" s="169"/>
      <c r="I852" s="169"/>
    </row>
    <row r="853">
      <c r="D853" s="168"/>
      <c r="H853" s="169"/>
      <c r="I853" s="169"/>
    </row>
    <row r="854">
      <c r="D854" s="168"/>
      <c r="H854" s="169"/>
      <c r="I854" s="169"/>
    </row>
    <row r="855">
      <c r="D855" s="168"/>
      <c r="H855" s="169"/>
      <c r="I855" s="169"/>
    </row>
    <row r="856">
      <c r="D856" s="168"/>
      <c r="H856" s="169"/>
      <c r="I856" s="169"/>
    </row>
    <row r="857">
      <c r="D857" s="168"/>
      <c r="H857" s="169"/>
      <c r="I857" s="169"/>
    </row>
    <row r="858">
      <c r="D858" s="168"/>
      <c r="H858" s="169"/>
      <c r="I858" s="169"/>
    </row>
    <row r="859">
      <c r="D859" s="168"/>
      <c r="H859" s="169"/>
      <c r="I859" s="169"/>
    </row>
    <row r="860">
      <c r="D860" s="168"/>
      <c r="H860" s="169"/>
      <c r="I860" s="169"/>
    </row>
    <row r="861">
      <c r="D861" s="168"/>
      <c r="H861" s="169"/>
      <c r="I861" s="169"/>
    </row>
    <row r="862">
      <c r="D862" s="168"/>
      <c r="H862" s="169"/>
      <c r="I862" s="169"/>
    </row>
    <row r="863">
      <c r="D863" s="168"/>
      <c r="H863" s="169"/>
      <c r="I863" s="169"/>
    </row>
    <row r="864">
      <c r="D864" s="168"/>
      <c r="H864" s="169"/>
      <c r="I864" s="169"/>
    </row>
    <row r="865">
      <c r="D865" s="168"/>
      <c r="H865" s="169"/>
      <c r="I865" s="169"/>
    </row>
    <row r="866">
      <c r="D866" s="168"/>
      <c r="H866" s="169"/>
      <c r="I866" s="169"/>
    </row>
    <row r="867">
      <c r="D867" s="168"/>
      <c r="H867" s="169"/>
      <c r="I867" s="169"/>
    </row>
    <row r="868">
      <c r="D868" s="168"/>
      <c r="H868" s="169"/>
      <c r="I868" s="169"/>
    </row>
    <row r="869">
      <c r="D869" s="168"/>
      <c r="H869" s="169"/>
      <c r="I869" s="169"/>
    </row>
    <row r="870">
      <c r="D870" s="168"/>
      <c r="H870" s="169"/>
      <c r="I870" s="169"/>
    </row>
    <row r="871">
      <c r="D871" s="168"/>
      <c r="H871" s="169"/>
      <c r="I871" s="169"/>
    </row>
    <row r="872">
      <c r="D872" s="168"/>
      <c r="H872" s="169"/>
      <c r="I872" s="169"/>
    </row>
    <row r="873">
      <c r="D873" s="168"/>
      <c r="H873" s="169"/>
      <c r="I873" s="169"/>
    </row>
    <row r="874">
      <c r="D874" s="168"/>
      <c r="H874" s="169"/>
      <c r="I874" s="169"/>
    </row>
    <row r="875">
      <c r="D875" s="168"/>
      <c r="H875" s="169"/>
      <c r="I875" s="169"/>
    </row>
    <row r="876">
      <c r="D876" s="168"/>
      <c r="H876" s="169"/>
      <c r="I876" s="169"/>
    </row>
    <row r="877">
      <c r="D877" s="168"/>
      <c r="H877" s="169"/>
      <c r="I877" s="169"/>
    </row>
    <row r="878">
      <c r="D878" s="168"/>
      <c r="H878" s="169"/>
      <c r="I878" s="169"/>
    </row>
    <row r="879">
      <c r="D879" s="168"/>
      <c r="H879" s="169"/>
      <c r="I879" s="169"/>
    </row>
    <row r="880">
      <c r="D880" s="168"/>
      <c r="H880" s="169"/>
      <c r="I880" s="169"/>
    </row>
    <row r="881">
      <c r="D881" s="168"/>
      <c r="H881" s="169"/>
      <c r="I881" s="169"/>
    </row>
    <row r="882">
      <c r="D882" s="168"/>
      <c r="H882" s="169"/>
      <c r="I882" s="169"/>
    </row>
    <row r="883">
      <c r="D883" s="168"/>
      <c r="H883" s="169"/>
      <c r="I883" s="169"/>
    </row>
    <row r="884">
      <c r="D884" s="168"/>
      <c r="H884" s="169"/>
      <c r="I884" s="169"/>
    </row>
    <row r="885">
      <c r="D885" s="168"/>
      <c r="H885" s="169"/>
      <c r="I885" s="169"/>
    </row>
    <row r="886">
      <c r="D886" s="168"/>
      <c r="H886" s="169"/>
      <c r="I886" s="169"/>
    </row>
    <row r="887">
      <c r="D887" s="168"/>
      <c r="H887" s="169"/>
      <c r="I887" s="169"/>
    </row>
    <row r="888">
      <c r="D888" s="168"/>
      <c r="H888" s="169"/>
      <c r="I888" s="169"/>
    </row>
    <row r="889">
      <c r="D889" s="168"/>
      <c r="H889" s="169"/>
      <c r="I889" s="169"/>
    </row>
    <row r="890">
      <c r="D890" s="168"/>
      <c r="H890" s="169"/>
      <c r="I890" s="169"/>
    </row>
    <row r="891">
      <c r="D891" s="168"/>
      <c r="H891" s="169"/>
      <c r="I891" s="169"/>
    </row>
    <row r="892">
      <c r="D892" s="168"/>
      <c r="H892" s="169"/>
      <c r="I892" s="169"/>
    </row>
    <row r="893">
      <c r="D893" s="168"/>
      <c r="H893" s="169"/>
      <c r="I893" s="169"/>
    </row>
    <row r="894">
      <c r="D894" s="168"/>
      <c r="H894" s="169"/>
      <c r="I894" s="169"/>
    </row>
    <row r="895">
      <c r="D895" s="168"/>
      <c r="H895" s="169"/>
      <c r="I895" s="169"/>
    </row>
    <row r="896">
      <c r="D896" s="168"/>
      <c r="H896" s="169"/>
      <c r="I896" s="169"/>
    </row>
    <row r="897">
      <c r="D897" s="168"/>
      <c r="H897" s="169"/>
      <c r="I897" s="169"/>
    </row>
    <row r="898">
      <c r="D898" s="168"/>
      <c r="H898" s="169"/>
      <c r="I898" s="169"/>
    </row>
    <row r="899">
      <c r="D899" s="168"/>
      <c r="H899" s="169"/>
      <c r="I899" s="169"/>
    </row>
    <row r="900">
      <c r="D900" s="168"/>
      <c r="H900" s="169"/>
      <c r="I900" s="169"/>
    </row>
    <row r="901">
      <c r="D901" s="168"/>
      <c r="H901" s="169"/>
      <c r="I901" s="169"/>
    </row>
    <row r="902">
      <c r="D902" s="168"/>
      <c r="H902" s="169"/>
      <c r="I902" s="169"/>
    </row>
    <row r="903">
      <c r="D903" s="168"/>
      <c r="H903" s="169"/>
      <c r="I903" s="169"/>
    </row>
    <row r="904">
      <c r="D904" s="168"/>
      <c r="H904" s="169"/>
      <c r="I904" s="169"/>
    </row>
    <row r="905">
      <c r="D905" s="168"/>
      <c r="H905" s="169"/>
      <c r="I905" s="169"/>
    </row>
    <row r="906">
      <c r="D906" s="168"/>
      <c r="H906" s="169"/>
      <c r="I906" s="169"/>
    </row>
    <row r="907">
      <c r="D907" s="168"/>
      <c r="H907" s="169"/>
      <c r="I907" s="169"/>
    </row>
    <row r="908">
      <c r="D908" s="168"/>
      <c r="H908" s="169"/>
      <c r="I908" s="169"/>
    </row>
    <row r="909">
      <c r="D909" s="168"/>
      <c r="H909" s="169"/>
      <c r="I909" s="169"/>
    </row>
    <row r="910">
      <c r="D910" s="168"/>
      <c r="H910" s="169"/>
      <c r="I910" s="169"/>
    </row>
    <row r="911">
      <c r="D911" s="168"/>
      <c r="H911" s="169"/>
      <c r="I911" s="169"/>
    </row>
    <row r="912">
      <c r="D912" s="168"/>
      <c r="H912" s="169"/>
      <c r="I912" s="169"/>
    </row>
    <row r="913">
      <c r="D913" s="168"/>
      <c r="H913" s="169"/>
      <c r="I913" s="169"/>
    </row>
    <row r="914">
      <c r="D914" s="168"/>
      <c r="H914" s="169"/>
      <c r="I914" s="169"/>
    </row>
    <row r="915">
      <c r="D915" s="168"/>
      <c r="H915" s="169"/>
      <c r="I915" s="169"/>
    </row>
    <row r="916">
      <c r="D916" s="168"/>
      <c r="H916" s="169"/>
      <c r="I916" s="169"/>
    </row>
    <row r="917">
      <c r="D917" s="168"/>
      <c r="H917" s="169"/>
      <c r="I917" s="169"/>
    </row>
    <row r="918">
      <c r="D918" s="168"/>
      <c r="H918" s="169"/>
      <c r="I918" s="169"/>
    </row>
    <row r="919">
      <c r="D919" s="168"/>
      <c r="H919" s="169"/>
      <c r="I919" s="169"/>
    </row>
    <row r="920">
      <c r="D920" s="168"/>
      <c r="H920" s="169"/>
      <c r="I920" s="169"/>
    </row>
    <row r="921">
      <c r="D921" s="168"/>
      <c r="H921" s="169"/>
      <c r="I921" s="169"/>
    </row>
    <row r="922">
      <c r="D922" s="168"/>
      <c r="H922" s="169"/>
      <c r="I922" s="169"/>
    </row>
    <row r="923">
      <c r="D923" s="168"/>
      <c r="H923" s="169"/>
      <c r="I923" s="169"/>
    </row>
    <row r="924">
      <c r="D924" s="168"/>
      <c r="H924" s="169"/>
      <c r="I924" s="169"/>
    </row>
    <row r="925">
      <c r="D925" s="168"/>
      <c r="H925" s="169"/>
      <c r="I925" s="169"/>
    </row>
    <row r="926">
      <c r="D926" s="168"/>
      <c r="H926" s="169"/>
      <c r="I926" s="169"/>
    </row>
    <row r="927">
      <c r="D927" s="168"/>
      <c r="H927" s="169"/>
      <c r="I927" s="169"/>
    </row>
    <row r="928">
      <c r="D928" s="168"/>
      <c r="H928" s="169"/>
      <c r="I928" s="169"/>
    </row>
    <row r="929">
      <c r="D929" s="168"/>
      <c r="H929" s="169"/>
      <c r="I929" s="169"/>
    </row>
    <row r="930">
      <c r="D930" s="168"/>
      <c r="H930" s="169"/>
      <c r="I930" s="169"/>
    </row>
    <row r="931">
      <c r="D931" s="168"/>
      <c r="H931" s="169"/>
      <c r="I931" s="169"/>
    </row>
    <row r="932">
      <c r="D932" s="168"/>
      <c r="H932" s="169"/>
      <c r="I932" s="169"/>
    </row>
    <row r="933">
      <c r="D933" s="168"/>
      <c r="H933" s="169"/>
      <c r="I933" s="169"/>
    </row>
    <row r="934">
      <c r="D934" s="168"/>
      <c r="H934" s="169"/>
      <c r="I934" s="169"/>
    </row>
    <row r="935">
      <c r="D935" s="168"/>
      <c r="H935" s="169"/>
      <c r="I935" s="169"/>
    </row>
    <row r="936">
      <c r="D936" s="168"/>
      <c r="H936" s="169"/>
      <c r="I936" s="169"/>
    </row>
    <row r="937">
      <c r="D937" s="168"/>
      <c r="H937" s="169"/>
      <c r="I937" s="169"/>
    </row>
    <row r="938">
      <c r="D938" s="168"/>
      <c r="H938" s="169"/>
      <c r="I938" s="169"/>
    </row>
    <row r="939">
      <c r="D939" s="168"/>
      <c r="H939" s="169"/>
      <c r="I939" s="169"/>
    </row>
    <row r="940">
      <c r="D940" s="168"/>
      <c r="H940" s="169"/>
      <c r="I940" s="169"/>
    </row>
    <row r="941">
      <c r="D941" s="168"/>
      <c r="H941" s="169"/>
      <c r="I941" s="169"/>
    </row>
    <row r="942">
      <c r="D942" s="168"/>
      <c r="H942" s="169"/>
      <c r="I942" s="169"/>
    </row>
    <row r="943">
      <c r="D943" s="168"/>
      <c r="H943" s="169"/>
      <c r="I943" s="169"/>
    </row>
    <row r="944">
      <c r="D944" s="168"/>
      <c r="H944" s="169"/>
      <c r="I944" s="169"/>
    </row>
    <row r="945">
      <c r="D945" s="168"/>
      <c r="H945" s="169"/>
      <c r="I945" s="169"/>
    </row>
    <row r="946">
      <c r="D946" s="168"/>
      <c r="H946" s="169"/>
      <c r="I946" s="169"/>
    </row>
    <row r="947">
      <c r="D947" s="168"/>
      <c r="H947" s="169"/>
      <c r="I947" s="169"/>
    </row>
    <row r="948">
      <c r="D948" s="168"/>
      <c r="H948" s="169"/>
      <c r="I948" s="169"/>
    </row>
    <row r="949">
      <c r="D949" s="168"/>
      <c r="H949" s="169"/>
      <c r="I949" s="169"/>
    </row>
    <row r="950">
      <c r="D950" s="168"/>
      <c r="H950" s="169"/>
      <c r="I950" s="169"/>
    </row>
    <row r="951">
      <c r="D951" s="168"/>
      <c r="H951" s="169"/>
      <c r="I951" s="169"/>
    </row>
    <row r="952">
      <c r="D952" s="168"/>
      <c r="H952" s="169"/>
      <c r="I952" s="169"/>
    </row>
    <row r="953">
      <c r="D953" s="168"/>
      <c r="H953" s="169"/>
      <c r="I953" s="169"/>
    </row>
    <row r="954">
      <c r="D954" s="168"/>
      <c r="H954" s="169"/>
      <c r="I954" s="169"/>
    </row>
    <row r="955">
      <c r="D955" s="168"/>
      <c r="H955" s="169"/>
      <c r="I955" s="169"/>
    </row>
    <row r="956">
      <c r="D956" s="168"/>
      <c r="H956" s="169"/>
      <c r="I956" s="169"/>
    </row>
    <row r="957">
      <c r="D957" s="168"/>
      <c r="H957" s="169"/>
      <c r="I957" s="169"/>
    </row>
    <row r="958">
      <c r="D958" s="168"/>
      <c r="H958" s="169"/>
      <c r="I958" s="169"/>
    </row>
    <row r="959">
      <c r="D959" s="168"/>
      <c r="H959" s="169"/>
      <c r="I959" s="169"/>
    </row>
    <row r="960">
      <c r="D960" s="168"/>
      <c r="H960" s="169"/>
      <c r="I960" s="169"/>
    </row>
    <row r="961">
      <c r="D961" s="168"/>
      <c r="H961" s="169"/>
      <c r="I961" s="169"/>
    </row>
    <row r="962">
      <c r="D962" s="168"/>
      <c r="H962" s="169"/>
      <c r="I962" s="169"/>
    </row>
    <row r="963">
      <c r="D963" s="168"/>
      <c r="H963" s="169"/>
      <c r="I963" s="169"/>
    </row>
    <row r="964">
      <c r="D964" s="168"/>
      <c r="H964" s="169"/>
      <c r="I964" s="169"/>
    </row>
    <row r="965">
      <c r="D965" s="168"/>
      <c r="H965" s="169"/>
      <c r="I965" s="169"/>
    </row>
    <row r="966">
      <c r="D966" s="168"/>
      <c r="H966" s="169"/>
      <c r="I966" s="169"/>
    </row>
    <row r="967">
      <c r="D967" s="168"/>
      <c r="H967" s="169"/>
      <c r="I967" s="169"/>
    </row>
    <row r="968">
      <c r="D968" s="168"/>
      <c r="H968" s="169"/>
      <c r="I968" s="169"/>
    </row>
    <row r="969">
      <c r="D969" s="168"/>
      <c r="H969" s="169"/>
      <c r="I969" s="169"/>
    </row>
    <row r="970">
      <c r="D970" s="168"/>
      <c r="H970" s="169"/>
      <c r="I970" s="169"/>
    </row>
    <row r="971">
      <c r="D971" s="168"/>
      <c r="H971" s="169"/>
      <c r="I971" s="169"/>
    </row>
    <row r="972">
      <c r="D972" s="168"/>
      <c r="H972" s="169"/>
      <c r="I972" s="169"/>
    </row>
    <row r="973">
      <c r="D973" s="168"/>
      <c r="H973" s="169"/>
      <c r="I973" s="169"/>
    </row>
    <row r="974">
      <c r="D974" s="168"/>
      <c r="H974" s="169"/>
      <c r="I974" s="169"/>
    </row>
    <row r="975">
      <c r="D975" s="168"/>
      <c r="H975" s="169"/>
      <c r="I975" s="169"/>
    </row>
    <row r="976">
      <c r="D976" s="168"/>
      <c r="H976" s="169"/>
      <c r="I976" s="169"/>
    </row>
    <row r="977">
      <c r="D977" s="168"/>
      <c r="H977" s="169"/>
      <c r="I977" s="169"/>
    </row>
    <row r="978">
      <c r="D978" s="168"/>
      <c r="H978" s="169"/>
      <c r="I978" s="169"/>
    </row>
    <row r="979">
      <c r="D979" s="168"/>
      <c r="H979" s="169"/>
      <c r="I979" s="169"/>
    </row>
    <row r="980">
      <c r="D980" s="168"/>
      <c r="H980" s="169"/>
      <c r="I980" s="169"/>
    </row>
    <row r="981">
      <c r="D981" s="168"/>
      <c r="H981" s="169"/>
      <c r="I981" s="169"/>
    </row>
    <row r="982">
      <c r="D982" s="168"/>
      <c r="H982" s="169"/>
      <c r="I982" s="169"/>
    </row>
    <row r="983">
      <c r="D983" s="168"/>
      <c r="H983" s="169"/>
      <c r="I983" s="169"/>
    </row>
    <row r="984">
      <c r="D984" s="168"/>
      <c r="H984" s="169"/>
      <c r="I984" s="169"/>
    </row>
    <row r="985">
      <c r="D985" s="168"/>
      <c r="H985" s="169"/>
      <c r="I985" s="169"/>
    </row>
    <row r="986">
      <c r="D986" s="168"/>
      <c r="H986" s="169"/>
      <c r="I986" s="169"/>
    </row>
    <row r="987">
      <c r="D987" s="168"/>
      <c r="H987" s="169"/>
      <c r="I987" s="169"/>
    </row>
    <row r="988">
      <c r="D988" s="168"/>
      <c r="H988" s="169"/>
      <c r="I988" s="169"/>
    </row>
    <row r="989">
      <c r="D989" s="168"/>
      <c r="H989" s="169"/>
      <c r="I989" s="169"/>
    </row>
    <row r="990">
      <c r="D990" s="168"/>
      <c r="H990" s="169"/>
      <c r="I990" s="169"/>
    </row>
    <row r="991">
      <c r="D991" s="168"/>
      <c r="H991" s="169"/>
      <c r="I991" s="169"/>
    </row>
    <row r="992">
      <c r="D992" s="168"/>
      <c r="H992" s="169"/>
      <c r="I992" s="169"/>
    </row>
    <row r="993">
      <c r="D993" s="168"/>
      <c r="H993" s="169"/>
      <c r="I993" s="169"/>
    </row>
    <row r="994">
      <c r="D994" s="168"/>
      <c r="H994" s="169"/>
      <c r="I994" s="169"/>
    </row>
    <row r="995">
      <c r="D995" s="168"/>
      <c r="H995" s="169"/>
      <c r="I995" s="169"/>
    </row>
    <row r="996">
      <c r="D996" s="168"/>
      <c r="H996" s="169"/>
      <c r="I996" s="169"/>
    </row>
    <row r="997">
      <c r="D997" s="168"/>
      <c r="H997" s="169"/>
      <c r="I997" s="169"/>
    </row>
    <row r="998">
      <c r="D998" s="168"/>
      <c r="H998" s="169"/>
      <c r="I998" s="169"/>
    </row>
    <row r="999">
      <c r="D999" s="168"/>
      <c r="H999" s="169"/>
      <c r="I999" s="169"/>
    </row>
    <row r="1000">
      <c r="D1000" s="168"/>
      <c r="H1000" s="169"/>
      <c r="I1000" s="169"/>
    </row>
    <row r="1001">
      <c r="D1001" s="168"/>
      <c r="H1001" s="169"/>
      <c r="I1001" s="169"/>
    </row>
    <row r="1002">
      <c r="D1002" s="168"/>
      <c r="H1002" s="169"/>
      <c r="I1002" s="169"/>
    </row>
    <row r="1003">
      <c r="D1003" s="168"/>
      <c r="H1003" s="169"/>
      <c r="I1003" s="169"/>
    </row>
    <row r="1004">
      <c r="D1004" s="168"/>
      <c r="H1004" s="169"/>
      <c r="I1004" s="169"/>
    </row>
    <row r="1005">
      <c r="D1005" s="168"/>
      <c r="H1005" s="169"/>
      <c r="I1005" s="169"/>
    </row>
    <row r="1006">
      <c r="D1006" s="168"/>
      <c r="H1006" s="169"/>
      <c r="I1006" s="169"/>
    </row>
    <row r="1007">
      <c r="D1007" s="168"/>
      <c r="H1007" s="169"/>
      <c r="I1007" s="169"/>
    </row>
    <row r="1008">
      <c r="D1008" s="168"/>
      <c r="H1008" s="169"/>
      <c r="I1008" s="169"/>
    </row>
    <row r="1009">
      <c r="D1009" s="168"/>
      <c r="H1009" s="169"/>
      <c r="I1009" s="169"/>
    </row>
    <row r="1010">
      <c r="D1010" s="168"/>
      <c r="H1010" s="169"/>
      <c r="I1010" s="169"/>
    </row>
    <row r="1011">
      <c r="D1011" s="168"/>
      <c r="H1011" s="169"/>
      <c r="I1011" s="169"/>
    </row>
    <row r="1012">
      <c r="D1012" s="168"/>
      <c r="H1012" s="169"/>
      <c r="I1012" s="169"/>
    </row>
    <row r="1013">
      <c r="D1013" s="168"/>
      <c r="H1013" s="169"/>
      <c r="I1013" s="169"/>
    </row>
    <row r="1014">
      <c r="D1014" s="168"/>
      <c r="H1014" s="169"/>
      <c r="I1014" s="169"/>
    </row>
    <row r="1015">
      <c r="D1015" s="168"/>
      <c r="H1015" s="169"/>
      <c r="I1015" s="169"/>
    </row>
    <row r="1016">
      <c r="D1016" s="168"/>
      <c r="H1016" s="169"/>
      <c r="I1016" s="169"/>
    </row>
    <row r="1017">
      <c r="D1017" s="168"/>
      <c r="H1017" s="169"/>
      <c r="I1017" s="169"/>
    </row>
    <row r="1018">
      <c r="D1018" s="168"/>
      <c r="H1018" s="169"/>
      <c r="I1018" s="169"/>
    </row>
    <row r="1019">
      <c r="D1019" s="168"/>
      <c r="H1019" s="169"/>
      <c r="I1019" s="169"/>
    </row>
    <row r="1020">
      <c r="D1020" s="168"/>
      <c r="H1020" s="169"/>
      <c r="I1020" s="169"/>
    </row>
    <row r="1021">
      <c r="D1021" s="168"/>
      <c r="H1021" s="169"/>
      <c r="I1021" s="169"/>
    </row>
    <row r="1022">
      <c r="D1022" s="168"/>
      <c r="H1022" s="169"/>
      <c r="I1022" s="169"/>
    </row>
    <row r="1023">
      <c r="D1023" s="168"/>
      <c r="H1023" s="169"/>
      <c r="I1023" s="169"/>
    </row>
    <row r="1024">
      <c r="D1024" s="168"/>
      <c r="H1024" s="169"/>
      <c r="I1024" s="169"/>
    </row>
    <row r="1025">
      <c r="D1025" s="168"/>
      <c r="H1025" s="169"/>
      <c r="I1025" s="169"/>
    </row>
    <row r="1026">
      <c r="D1026" s="168"/>
      <c r="H1026" s="169"/>
      <c r="I1026" s="169"/>
    </row>
    <row r="1027">
      <c r="D1027" s="168"/>
      <c r="H1027" s="169"/>
      <c r="I1027" s="169"/>
    </row>
    <row r="1028">
      <c r="D1028" s="168"/>
      <c r="H1028" s="169"/>
      <c r="I1028" s="169"/>
    </row>
    <row r="1029">
      <c r="D1029" s="168"/>
      <c r="H1029" s="169"/>
      <c r="I1029" s="169"/>
    </row>
    <row r="1030">
      <c r="D1030" s="168"/>
      <c r="H1030" s="169"/>
      <c r="I1030" s="169"/>
    </row>
    <row r="1031">
      <c r="D1031" s="168"/>
      <c r="H1031" s="169"/>
      <c r="I1031" s="169"/>
    </row>
    <row r="1032">
      <c r="D1032" s="168"/>
      <c r="H1032" s="169"/>
      <c r="I1032" s="169"/>
    </row>
    <row r="1033">
      <c r="D1033" s="168"/>
      <c r="H1033" s="169"/>
      <c r="I1033" s="169"/>
    </row>
    <row r="1034">
      <c r="D1034" s="168"/>
      <c r="H1034" s="169"/>
      <c r="I1034" s="169"/>
    </row>
    <row r="1035">
      <c r="D1035" s="168"/>
      <c r="H1035" s="169"/>
      <c r="I1035" s="169"/>
    </row>
    <row r="1036">
      <c r="D1036" s="168"/>
      <c r="H1036" s="169"/>
      <c r="I1036" s="169"/>
    </row>
    <row r="1037">
      <c r="D1037" s="168"/>
      <c r="H1037" s="169"/>
      <c r="I1037" s="169"/>
    </row>
    <row r="1038">
      <c r="D1038" s="168"/>
      <c r="H1038" s="169"/>
      <c r="I1038" s="169"/>
    </row>
    <row r="1039">
      <c r="D1039" s="168"/>
      <c r="H1039" s="169"/>
      <c r="I1039" s="169"/>
    </row>
    <row r="1040">
      <c r="D1040" s="168"/>
      <c r="H1040" s="169"/>
      <c r="I1040" s="169"/>
    </row>
    <row r="1041">
      <c r="D1041" s="168"/>
      <c r="H1041" s="169"/>
      <c r="I1041" s="169"/>
    </row>
    <row r="1042">
      <c r="D1042" s="168"/>
      <c r="H1042" s="169"/>
      <c r="I1042" s="169"/>
    </row>
    <row r="1043">
      <c r="D1043" s="168"/>
      <c r="H1043" s="169"/>
      <c r="I1043" s="169"/>
    </row>
    <row r="1044">
      <c r="D1044" s="168"/>
      <c r="H1044" s="169"/>
      <c r="I1044" s="169"/>
    </row>
    <row r="1045">
      <c r="D1045" s="168"/>
      <c r="H1045" s="169"/>
      <c r="I1045" s="169"/>
    </row>
    <row r="1046">
      <c r="D1046" s="168"/>
      <c r="H1046" s="169"/>
      <c r="I1046" s="169"/>
    </row>
    <row r="1047">
      <c r="D1047" s="168"/>
      <c r="H1047" s="169"/>
      <c r="I1047" s="169"/>
    </row>
    <row r="1048">
      <c r="D1048" s="168"/>
      <c r="H1048" s="169"/>
      <c r="I1048" s="169"/>
    </row>
    <row r="1049">
      <c r="D1049" s="168"/>
      <c r="H1049" s="169"/>
      <c r="I1049" s="169"/>
    </row>
    <row r="1050">
      <c r="D1050" s="168"/>
      <c r="H1050" s="169"/>
      <c r="I1050" s="169"/>
    </row>
    <row r="1051">
      <c r="D1051" s="168"/>
      <c r="H1051" s="169"/>
      <c r="I1051" s="169"/>
    </row>
    <row r="1052">
      <c r="D1052" s="168"/>
      <c r="H1052" s="169"/>
      <c r="I1052" s="16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9.63"/>
    <col customWidth="1" min="2" max="2" width="19.13"/>
    <col customWidth="1" min="3" max="3" width="16.0"/>
    <col customWidth="1" min="5" max="5" width="19.88"/>
  </cols>
  <sheetData>
    <row r="1">
      <c r="D1" s="262"/>
    </row>
    <row r="2">
      <c r="E2" s="176" t="s">
        <v>333</v>
      </c>
    </row>
    <row r="3">
      <c r="E3" s="262">
        <f t="shared" ref="E3:E6" si="1">C3/60</f>
        <v>86.05</v>
      </c>
    </row>
    <row r="4">
      <c r="E4" s="262">
        <f t="shared" si="1"/>
        <v>1.833333333</v>
      </c>
    </row>
    <row r="5">
      <c r="E5" s="262">
        <f t="shared" si="1"/>
        <v>25.55</v>
      </c>
    </row>
    <row r="6">
      <c r="E6" s="262">
        <f t="shared" si="1"/>
        <v>113.4333333</v>
      </c>
    </row>
    <row r="39"/>
    <row r="40">
      <c r="C40" s="262"/>
    </row>
    <row r="41">
      <c r="C41" s="262"/>
    </row>
    <row r="42">
      <c r="C42" s="262"/>
    </row>
    <row r="43">
      <c r="C43" s="262"/>
      <c r="D43" s="265"/>
    </row>
    <row r="44">
      <c r="C44" s="262"/>
      <c r="D44" s="262"/>
    </row>
    <row r="45">
      <c r="C45" s="262"/>
      <c r="D45" s="262"/>
    </row>
    <row r="46">
      <c r="C46" s="262"/>
      <c r="D46" s="262"/>
    </row>
    <row r="47">
      <c r="C47" s="262"/>
      <c r="D47" s="262"/>
    </row>
    <row r="48">
      <c r="C48" s="262"/>
      <c r="D48" s="262"/>
    </row>
    <row r="49">
      <c r="C49" s="262"/>
      <c r="D49" s="262"/>
    </row>
    <row r="50">
      <c r="C50" s="262"/>
      <c r="D50" s="262"/>
      <c r="E50" s="266"/>
    </row>
    <row r="51">
      <c r="C51" s="262"/>
      <c r="D51" s="262"/>
    </row>
    <row r="52">
      <c r="D52" s="262"/>
    </row>
    <row r="53">
      <c r="D53" s="262"/>
    </row>
    <row r="54">
      <c r="D54" s="262"/>
    </row>
    <row r="55">
      <c r="D55" s="262"/>
    </row>
    <row r="74">
      <c r="C74" s="267" t="s">
        <v>336</v>
      </c>
    </row>
    <row r="75">
      <c r="C75" s="262">
        <f t="shared" ref="C75:C87" si="2">B75/60</f>
        <v>0.8</v>
      </c>
    </row>
    <row r="76">
      <c r="C76" s="262">
        <f t="shared" si="2"/>
        <v>5.116666667</v>
      </c>
    </row>
    <row r="77">
      <c r="C77" s="262">
        <f t="shared" si="2"/>
        <v>0.4833333333</v>
      </c>
    </row>
    <row r="78">
      <c r="C78" s="262">
        <f t="shared" si="2"/>
        <v>46.73333333</v>
      </c>
    </row>
    <row r="79">
      <c r="C79" s="268">
        <f t="shared" si="2"/>
        <v>27.93333333</v>
      </c>
    </row>
    <row r="80">
      <c r="C80" s="262">
        <f t="shared" si="2"/>
        <v>9.15</v>
      </c>
      <c r="D80" s="262"/>
    </row>
    <row r="81">
      <c r="C81" s="262">
        <f t="shared" si="2"/>
        <v>3.116666667</v>
      </c>
      <c r="D81" s="262"/>
    </row>
    <row r="82">
      <c r="C82" s="262">
        <f t="shared" si="2"/>
        <v>5.166666667</v>
      </c>
      <c r="D82" s="262"/>
    </row>
    <row r="83">
      <c r="C83" s="262">
        <f t="shared" si="2"/>
        <v>1.466666667</v>
      </c>
    </row>
    <row r="84">
      <c r="C84" s="262">
        <f t="shared" si="2"/>
        <v>9.866666667</v>
      </c>
    </row>
    <row r="85">
      <c r="C85" s="262">
        <f t="shared" si="2"/>
        <v>1.1</v>
      </c>
    </row>
    <row r="86">
      <c r="C86" s="262">
        <f t="shared" si="2"/>
        <v>0.6666666667</v>
      </c>
    </row>
    <row r="87">
      <c r="C87" s="269">
        <f t="shared" si="2"/>
        <v>111.6</v>
      </c>
    </row>
    <row r="91"/>
    <row r="92"/>
    <row r="93"/>
    <row r="94"/>
    <row r="95"/>
    <row r="96"/>
    <row r="97"/>
    <row r="98"/>
    <row r="99"/>
    <row r="100"/>
    <row r="101"/>
    <row r="102"/>
    <row r="103"/>
    <row r="104"/>
  </sheetData>
  <autoFilter ref="$A$2:$E$6">
    <sortState ref="A2:E6">
      <sortCondition ref="B2:B6"/>
    </sortState>
  </autoFilter>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88"/>
    <col customWidth="1" min="4" max="4" width="34.0"/>
    <col customWidth="1" min="5" max="5" width="16.75"/>
    <col customWidth="1" min="6" max="6" width="31.63"/>
    <col customWidth="1" min="7" max="7" width="30.0"/>
  </cols>
  <sheetData>
    <row r="1">
      <c r="A1" s="1" t="s">
        <v>0</v>
      </c>
    </row>
    <row r="3">
      <c r="A3" s="4" t="s">
        <v>338</v>
      </c>
      <c r="B3" s="4" t="s">
        <v>5</v>
      </c>
      <c r="C3" s="4" t="s">
        <v>4</v>
      </c>
      <c r="D3" s="4" t="s">
        <v>339</v>
      </c>
      <c r="E3" s="5" t="s">
        <v>8</v>
      </c>
      <c r="F3" s="4" t="s">
        <v>340</v>
      </c>
      <c r="G3" s="4" t="s">
        <v>10</v>
      </c>
    </row>
    <row r="4">
      <c r="A4" s="270">
        <v>45793.0</v>
      </c>
      <c r="B4" s="271">
        <v>458.0</v>
      </c>
      <c r="C4" s="271" t="s">
        <v>341</v>
      </c>
      <c r="D4" s="272" t="s">
        <v>342</v>
      </c>
      <c r="E4" s="273" t="s">
        <v>343</v>
      </c>
      <c r="F4" s="272" t="s">
        <v>344</v>
      </c>
      <c r="G4" s="274"/>
    </row>
    <row r="5">
      <c r="A5" s="270">
        <v>45796.0</v>
      </c>
      <c r="B5" s="271">
        <v>454.0</v>
      </c>
      <c r="C5" s="271" t="s">
        <v>341</v>
      </c>
      <c r="D5" s="272" t="s">
        <v>345</v>
      </c>
      <c r="E5" s="273" t="s">
        <v>27</v>
      </c>
      <c r="F5" s="272" t="s">
        <v>346</v>
      </c>
      <c r="G5" s="274"/>
    </row>
    <row r="6">
      <c r="A6" s="270">
        <v>45796.0</v>
      </c>
      <c r="B6" s="271" t="s">
        <v>347</v>
      </c>
      <c r="C6" s="271" t="s">
        <v>341</v>
      </c>
      <c r="D6" s="272" t="s">
        <v>348</v>
      </c>
      <c r="E6" s="273" t="s">
        <v>27</v>
      </c>
      <c r="F6" s="272" t="s">
        <v>349</v>
      </c>
      <c r="G6" s="274"/>
    </row>
    <row r="7">
      <c r="A7" s="270">
        <v>45808.0</v>
      </c>
      <c r="B7" s="271">
        <v>453.0</v>
      </c>
      <c r="C7" s="271" t="s">
        <v>341</v>
      </c>
      <c r="D7" s="272" t="s">
        <v>350</v>
      </c>
      <c r="E7" s="273" t="s">
        <v>67</v>
      </c>
      <c r="F7" s="272"/>
      <c r="G7" s="274"/>
    </row>
    <row r="8">
      <c r="A8" s="270">
        <v>45808.0</v>
      </c>
      <c r="B8" s="271">
        <v>458.0</v>
      </c>
      <c r="C8" s="271" t="s">
        <v>341</v>
      </c>
      <c r="D8" s="272" t="s">
        <v>350</v>
      </c>
      <c r="E8" s="273" t="s">
        <v>67</v>
      </c>
      <c r="F8" s="272"/>
      <c r="G8" s="274"/>
    </row>
    <row r="9">
      <c r="A9" s="275"/>
      <c r="B9" s="276"/>
      <c r="C9" s="271" t="s">
        <v>341</v>
      </c>
      <c r="D9" s="272"/>
      <c r="E9" s="273"/>
      <c r="F9" s="272"/>
      <c r="G9" s="274"/>
    </row>
    <row r="10">
      <c r="A10" s="275"/>
      <c r="B10" s="276"/>
      <c r="C10" s="271" t="s">
        <v>341</v>
      </c>
      <c r="D10" s="272"/>
      <c r="E10" s="273"/>
      <c r="F10" s="272"/>
      <c r="G10" s="274"/>
    </row>
    <row r="11">
      <c r="A11" s="275"/>
      <c r="B11" s="276"/>
      <c r="C11" s="271" t="s">
        <v>341</v>
      </c>
      <c r="D11" s="272"/>
      <c r="E11" s="273"/>
      <c r="F11" s="272"/>
      <c r="G11" s="274"/>
    </row>
    <row r="12">
      <c r="A12" s="275"/>
      <c r="B12" s="276"/>
      <c r="C12" s="271" t="s">
        <v>341</v>
      </c>
      <c r="D12" s="272"/>
      <c r="E12" s="273"/>
      <c r="F12" s="272"/>
      <c r="G12" s="274"/>
    </row>
    <row r="13">
      <c r="A13" s="275"/>
      <c r="B13" s="276"/>
      <c r="C13" s="271" t="s">
        <v>341</v>
      </c>
      <c r="D13" s="272"/>
      <c r="E13" s="273"/>
      <c r="F13" s="272"/>
      <c r="G13" s="274"/>
    </row>
    <row r="14">
      <c r="A14" s="275"/>
      <c r="B14" s="276"/>
      <c r="C14" s="271" t="s">
        <v>341</v>
      </c>
      <c r="D14" s="272"/>
      <c r="E14" s="273"/>
      <c r="F14" s="272"/>
      <c r="G14" s="274"/>
    </row>
  </sheetData>
  <mergeCells count="1">
    <mergeCell ref="A1:F1"/>
  </mergeCells>
  <dataValidations>
    <dataValidation type="list" allowBlank="1" sqref="E4:E14">
      <formula1>"Low Priority,High Priority,Completed"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26.38"/>
    <col customWidth="1" min="5" max="5" width="44.88"/>
    <col customWidth="1" min="6" max="6" width="17.75"/>
    <col customWidth="1" min="7" max="7" width="20.38"/>
    <col customWidth="1" min="8" max="8" width="17.75"/>
    <col customWidth="1" min="9" max="9" width="18.0"/>
    <col customWidth="1" min="11" max="12" width="19.25"/>
  </cols>
  <sheetData>
    <row r="1">
      <c r="A1" s="44" t="s">
        <v>95</v>
      </c>
      <c r="B1" s="44" t="s">
        <v>96</v>
      </c>
      <c r="C1" s="45" t="s">
        <v>119</v>
      </c>
      <c r="D1" s="44" t="s">
        <v>98</v>
      </c>
      <c r="E1" s="44" t="s">
        <v>351</v>
      </c>
      <c r="F1" s="47" t="s">
        <v>102</v>
      </c>
      <c r="G1" s="47" t="s">
        <v>352</v>
      </c>
      <c r="H1" s="47" t="s">
        <v>353</v>
      </c>
      <c r="I1" s="47" t="s">
        <v>27</v>
      </c>
      <c r="J1" s="49" t="s">
        <v>338</v>
      </c>
      <c r="K1" s="49" t="s">
        <v>104</v>
      </c>
      <c r="L1" s="49" t="s">
        <v>120</v>
      </c>
      <c r="M1" s="51" t="s">
        <v>109</v>
      </c>
      <c r="N1" s="277" t="s">
        <v>111</v>
      </c>
    </row>
    <row r="2">
      <c r="A2" s="278">
        <v>449.0</v>
      </c>
      <c r="B2" s="65" t="s">
        <v>341</v>
      </c>
      <c r="C2" s="63">
        <v>45754.0</v>
      </c>
      <c r="D2" s="68"/>
      <c r="E2" s="68" t="s">
        <v>354</v>
      </c>
      <c r="F2" s="68"/>
      <c r="G2" s="117"/>
      <c r="H2" s="117"/>
      <c r="I2" s="75"/>
      <c r="J2" s="68"/>
      <c r="K2" s="66"/>
      <c r="L2" s="117"/>
      <c r="M2" s="68"/>
      <c r="N2" s="68"/>
    </row>
    <row r="3">
      <c r="A3" s="278">
        <v>450.0</v>
      </c>
      <c r="B3" s="65" t="s">
        <v>341</v>
      </c>
      <c r="C3" s="63">
        <v>45754.0</v>
      </c>
      <c r="D3" s="68"/>
      <c r="E3" s="68" t="s">
        <v>355</v>
      </c>
      <c r="F3" s="68"/>
      <c r="G3" s="117"/>
      <c r="H3" s="117"/>
      <c r="I3" s="75"/>
      <c r="J3" s="68"/>
      <c r="K3" s="70"/>
      <c r="L3" s="117"/>
      <c r="M3" s="68"/>
      <c r="N3" s="68"/>
    </row>
    <row r="4">
      <c r="A4" s="278">
        <v>451.0</v>
      </c>
      <c r="B4" s="65" t="s">
        <v>341</v>
      </c>
      <c r="C4" s="63">
        <v>45754.0</v>
      </c>
      <c r="D4" s="68"/>
      <c r="E4" s="68" t="s">
        <v>355</v>
      </c>
      <c r="F4" s="68"/>
      <c r="G4" s="117"/>
      <c r="H4" s="117"/>
      <c r="I4" s="75"/>
      <c r="J4" s="68"/>
      <c r="K4" s="70"/>
      <c r="L4" s="117"/>
      <c r="M4" s="68"/>
      <c r="N4" s="68"/>
    </row>
    <row r="5">
      <c r="A5" s="278">
        <v>452.0</v>
      </c>
      <c r="B5" s="65" t="s">
        <v>341</v>
      </c>
      <c r="C5" s="63">
        <v>45754.0</v>
      </c>
      <c r="D5" s="68"/>
      <c r="E5" s="68" t="s">
        <v>355</v>
      </c>
      <c r="F5" s="68"/>
      <c r="G5" s="117"/>
      <c r="H5" s="117"/>
      <c r="I5" s="75"/>
      <c r="J5" s="68"/>
      <c r="K5" s="70"/>
      <c r="L5" s="117"/>
      <c r="M5" s="68"/>
      <c r="N5" s="68"/>
    </row>
    <row r="6">
      <c r="A6" s="278">
        <v>453.0</v>
      </c>
      <c r="B6" s="65" t="s">
        <v>341</v>
      </c>
      <c r="C6" s="63">
        <v>45754.0</v>
      </c>
      <c r="D6" s="68"/>
      <c r="E6" s="68" t="s">
        <v>355</v>
      </c>
      <c r="F6" s="68"/>
      <c r="G6" s="117"/>
      <c r="H6" s="117"/>
      <c r="I6" s="75"/>
      <c r="J6" s="68"/>
      <c r="K6" s="70"/>
      <c r="L6" s="117"/>
      <c r="M6" s="68"/>
      <c r="N6" s="68"/>
    </row>
    <row r="7">
      <c r="A7" s="279">
        <v>453.0</v>
      </c>
      <c r="B7" s="65" t="s">
        <v>341</v>
      </c>
      <c r="C7" s="63"/>
      <c r="D7" s="68"/>
      <c r="E7" s="68"/>
      <c r="F7" s="280" t="s">
        <v>129</v>
      </c>
      <c r="G7" s="281" t="s">
        <v>350</v>
      </c>
      <c r="H7" s="282" t="s">
        <v>356</v>
      </c>
      <c r="I7" s="62" t="s">
        <v>162</v>
      </c>
      <c r="J7" s="68"/>
      <c r="K7" s="70"/>
      <c r="L7" s="117"/>
      <c r="M7" s="68"/>
      <c r="N7" s="68"/>
    </row>
    <row r="8">
      <c r="A8" s="278">
        <v>454.0</v>
      </c>
      <c r="B8" s="65" t="s">
        <v>341</v>
      </c>
      <c r="C8" s="63">
        <v>45754.0</v>
      </c>
      <c r="D8" s="68"/>
      <c r="E8" s="68" t="s">
        <v>355</v>
      </c>
      <c r="F8" s="68"/>
      <c r="G8" s="117"/>
      <c r="H8" s="117"/>
      <c r="I8" s="75"/>
      <c r="J8" s="68"/>
      <c r="K8" s="70"/>
      <c r="L8" s="117"/>
      <c r="M8" s="68"/>
      <c r="N8" s="68"/>
    </row>
    <row r="9">
      <c r="A9" s="278">
        <v>454.0</v>
      </c>
      <c r="B9" s="65" t="s">
        <v>341</v>
      </c>
      <c r="C9" s="63"/>
      <c r="D9" s="68"/>
      <c r="E9" s="68"/>
      <c r="F9" s="65" t="s">
        <v>125</v>
      </c>
      <c r="G9" s="67" t="s">
        <v>357</v>
      </c>
      <c r="H9" s="67" t="s">
        <v>358</v>
      </c>
      <c r="I9" s="62" t="s">
        <v>117</v>
      </c>
      <c r="J9" s="63">
        <v>45797.0</v>
      </c>
      <c r="K9" s="103"/>
      <c r="L9" s="67" t="s">
        <v>359</v>
      </c>
      <c r="M9" s="68"/>
      <c r="N9" s="68"/>
    </row>
    <row r="10">
      <c r="A10" s="278">
        <v>455.0</v>
      </c>
      <c r="B10" s="65" t="s">
        <v>341</v>
      </c>
      <c r="C10" s="63">
        <v>45754.0</v>
      </c>
      <c r="D10" s="68"/>
      <c r="E10" s="68" t="s">
        <v>355</v>
      </c>
      <c r="F10" s="68"/>
      <c r="G10" s="117"/>
      <c r="H10" s="117"/>
      <c r="I10" s="75"/>
      <c r="J10" s="68"/>
      <c r="K10" s="70"/>
      <c r="L10" s="117"/>
      <c r="M10" s="68"/>
      <c r="N10" s="68"/>
    </row>
    <row r="11">
      <c r="A11" s="278">
        <v>456.0</v>
      </c>
      <c r="B11" s="65" t="s">
        <v>341</v>
      </c>
      <c r="C11" s="63">
        <v>45754.0</v>
      </c>
      <c r="D11" s="68"/>
      <c r="E11" s="68" t="s">
        <v>355</v>
      </c>
      <c r="F11" s="68"/>
      <c r="G11" s="117"/>
      <c r="H11" s="117"/>
      <c r="I11" s="75"/>
      <c r="J11" s="68"/>
      <c r="K11" s="70"/>
      <c r="L11" s="117"/>
      <c r="M11" s="68"/>
      <c r="N11" s="68"/>
    </row>
    <row r="12">
      <c r="A12" s="278">
        <v>457.0</v>
      </c>
      <c r="B12" s="65" t="s">
        <v>341</v>
      </c>
      <c r="C12" s="63">
        <v>45754.0</v>
      </c>
      <c r="D12" s="68"/>
      <c r="E12" s="68" t="s">
        <v>355</v>
      </c>
      <c r="F12" s="68"/>
      <c r="G12" s="117"/>
      <c r="H12" s="117"/>
      <c r="I12" s="75"/>
      <c r="J12" s="68"/>
      <c r="K12" s="70"/>
      <c r="L12" s="117"/>
      <c r="M12" s="68"/>
      <c r="N12" s="68"/>
    </row>
    <row r="13">
      <c r="A13" s="278">
        <v>458.0</v>
      </c>
      <c r="B13" s="65" t="s">
        <v>341</v>
      </c>
      <c r="C13" s="63">
        <v>45754.0</v>
      </c>
      <c r="D13" s="68"/>
      <c r="E13" s="68" t="s">
        <v>360</v>
      </c>
      <c r="F13" s="68"/>
      <c r="G13" s="117"/>
      <c r="H13" s="117"/>
      <c r="I13" s="75"/>
      <c r="J13" s="68"/>
      <c r="K13" s="70"/>
      <c r="L13" s="117"/>
      <c r="M13" s="68"/>
      <c r="N13" s="68"/>
    </row>
    <row r="14">
      <c r="A14" s="278">
        <v>458.0</v>
      </c>
      <c r="B14" s="65" t="s">
        <v>341</v>
      </c>
      <c r="C14" s="65"/>
      <c r="D14" s="68"/>
      <c r="E14" s="68"/>
      <c r="F14" s="65" t="s">
        <v>129</v>
      </c>
      <c r="G14" s="67" t="s">
        <v>361</v>
      </c>
      <c r="H14" s="67" t="s">
        <v>362</v>
      </c>
      <c r="I14" s="62" t="s">
        <v>117</v>
      </c>
      <c r="J14" s="63">
        <v>45807.0</v>
      </c>
      <c r="K14" s="66" t="s">
        <v>118</v>
      </c>
      <c r="L14" s="67" t="s">
        <v>363</v>
      </c>
      <c r="M14" s="68"/>
      <c r="N14" s="68"/>
    </row>
    <row r="15">
      <c r="A15" s="278">
        <v>458.0</v>
      </c>
      <c r="B15" s="65" t="s">
        <v>341</v>
      </c>
      <c r="C15" s="65"/>
      <c r="D15" s="68"/>
      <c r="E15" s="68"/>
      <c r="F15" s="65" t="s">
        <v>129</v>
      </c>
      <c r="G15" s="283" t="s">
        <v>350</v>
      </c>
      <c r="H15" s="67" t="s">
        <v>356</v>
      </c>
      <c r="I15" s="62" t="s">
        <v>162</v>
      </c>
      <c r="J15" s="68"/>
      <c r="K15" s="70"/>
      <c r="L15" s="117"/>
      <c r="M15" s="68"/>
      <c r="N15" s="68"/>
    </row>
    <row r="16">
      <c r="A16" s="278"/>
      <c r="B16" s="65" t="s">
        <v>341</v>
      </c>
      <c r="C16" s="68"/>
      <c r="D16" s="68"/>
      <c r="E16" s="68"/>
      <c r="F16" s="68"/>
      <c r="G16" s="117"/>
      <c r="H16" s="117"/>
      <c r="I16" s="75"/>
      <c r="J16" s="68"/>
      <c r="K16" s="70"/>
      <c r="L16" s="117"/>
      <c r="M16" s="68"/>
      <c r="N16" s="68"/>
    </row>
    <row r="17">
      <c r="A17" s="278"/>
      <c r="B17" s="65" t="s">
        <v>341</v>
      </c>
      <c r="C17" s="68"/>
      <c r="D17" s="68"/>
      <c r="E17" s="68"/>
      <c r="F17" s="68"/>
      <c r="G17" s="117"/>
      <c r="H17" s="117"/>
      <c r="I17" s="75"/>
      <c r="J17" s="68"/>
      <c r="K17" s="70"/>
      <c r="L17" s="117"/>
      <c r="M17" s="68"/>
      <c r="N17" s="68"/>
    </row>
    <row r="18">
      <c r="A18" s="278"/>
      <c r="B18" s="65" t="s">
        <v>341</v>
      </c>
      <c r="C18" s="68"/>
      <c r="D18" s="68"/>
      <c r="E18" s="68"/>
      <c r="F18" s="68"/>
      <c r="G18" s="117"/>
      <c r="H18" s="117"/>
      <c r="I18" s="75"/>
      <c r="J18" s="68"/>
      <c r="K18" s="70"/>
      <c r="L18" s="117"/>
      <c r="M18" s="68"/>
      <c r="N18" s="68"/>
    </row>
    <row r="19">
      <c r="A19" s="278"/>
      <c r="B19" s="65" t="s">
        <v>341</v>
      </c>
      <c r="C19" s="68"/>
      <c r="D19" s="68"/>
      <c r="E19" s="68"/>
      <c r="F19" s="68"/>
      <c r="G19" s="117"/>
      <c r="H19" s="117"/>
      <c r="I19" s="75"/>
      <c r="J19" s="68"/>
      <c r="K19" s="70"/>
      <c r="L19" s="117"/>
      <c r="M19" s="68"/>
      <c r="N19" s="68"/>
    </row>
    <row r="20">
      <c r="A20" s="278"/>
      <c r="B20" s="65" t="s">
        <v>341</v>
      </c>
      <c r="C20" s="68"/>
      <c r="D20" s="68"/>
      <c r="E20" s="68"/>
      <c r="F20" s="68"/>
      <c r="G20" s="117"/>
      <c r="H20" s="117"/>
      <c r="I20" s="75"/>
      <c r="J20" s="68"/>
      <c r="K20" s="70"/>
      <c r="L20" s="117"/>
      <c r="M20" s="68"/>
      <c r="N20" s="68"/>
    </row>
    <row r="21">
      <c r="A21" s="278"/>
      <c r="B21" s="65" t="s">
        <v>341</v>
      </c>
      <c r="C21" s="68"/>
      <c r="D21" s="68"/>
      <c r="E21" s="68"/>
      <c r="F21" s="68"/>
      <c r="G21" s="117"/>
      <c r="H21" s="117"/>
      <c r="I21" s="75"/>
      <c r="J21" s="68"/>
      <c r="K21" s="70"/>
      <c r="L21" s="117"/>
      <c r="M21" s="68"/>
      <c r="N21" s="68"/>
    </row>
  </sheetData>
  <dataValidations>
    <dataValidation type="list" allowBlank="1" sqref="I2:I21">
      <formula1>"Complete,Scheduled,In Process"</formula1>
    </dataValidation>
    <dataValidation type="custom" allowBlank="1" showDropDown="1" sqref="A2:A21">
      <formula1>AND(ISNUMBER(A2),(NOT(OR(NOT(ISERROR(DATEVALUE(A2))), AND(ISNUMBER(A2), LEFT(CELL("format", A2))="D")))))</formula1>
    </dataValidation>
    <dataValidation type="list" allowBlank="1" sqref="K2:K21">
      <formula1>"In Service,Out of Service"</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3" width="12.5"/>
    <col customWidth="1" min="4" max="4" width="13.5"/>
    <col customWidth="1" min="5" max="5" width="19.63"/>
    <col customWidth="1" min="6" max="6" width="12.38"/>
    <col customWidth="1" min="7" max="7" width="17.75"/>
    <col customWidth="1" min="8" max="8" width="16.88"/>
    <col customWidth="1" min="9" max="9" width="16.75"/>
    <col customWidth="1" min="10" max="10" width="20.0"/>
    <col customWidth="1" min="11" max="11" width="17.75"/>
    <col customWidth="1" min="12" max="13" width="16.88"/>
    <col customWidth="1" min="14" max="14" width="17.38"/>
    <col customWidth="1" min="15" max="15" width="13.63"/>
    <col customWidth="1" min="16" max="16" width="19.5"/>
    <col customWidth="1" min="17" max="17" width="19.25"/>
    <col customWidth="1" min="18" max="18" width="13.63"/>
    <col customWidth="1" min="19" max="19" width="17.63"/>
    <col customWidth="1" min="21" max="21" width="19.63"/>
  </cols>
  <sheetData>
    <row r="1">
      <c r="A1" s="44" t="s">
        <v>94</v>
      </c>
      <c r="B1" s="45" t="s">
        <v>2</v>
      </c>
      <c r="C1" s="44" t="s">
        <v>95</v>
      </c>
      <c r="D1" s="44" t="s">
        <v>96</v>
      </c>
      <c r="E1" s="45" t="s">
        <v>97</v>
      </c>
      <c r="F1" s="46" t="s">
        <v>98</v>
      </c>
      <c r="G1" s="44" t="s">
        <v>99</v>
      </c>
      <c r="H1" s="47" t="s">
        <v>364</v>
      </c>
      <c r="I1" s="47" t="s">
        <v>100</v>
      </c>
      <c r="J1" s="47" t="s">
        <v>101</v>
      </c>
      <c r="K1" s="48" t="s">
        <v>102</v>
      </c>
      <c r="L1" s="48" t="s">
        <v>103</v>
      </c>
      <c r="M1" s="47" t="s">
        <v>104</v>
      </c>
      <c r="N1" s="49" t="s">
        <v>105</v>
      </c>
      <c r="O1" s="49" t="s">
        <v>106</v>
      </c>
      <c r="P1" s="47" t="s">
        <v>107</v>
      </c>
      <c r="Q1" s="50" t="s">
        <v>108</v>
      </c>
      <c r="R1" s="51" t="s">
        <v>109</v>
      </c>
      <c r="S1" s="49" t="s">
        <v>110</v>
      </c>
      <c r="T1" s="47" t="s">
        <v>111</v>
      </c>
      <c r="U1" s="52" t="s">
        <v>112</v>
      </c>
      <c r="V1" s="52" t="s">
        <v>113</v>
      </c>
    </row>
    <row r="2">
      <c r="A2" s="53"/>
      <c r="B2" s="53" t="str">
        <f t="shared" ref="B2:B13" si="1">row(A1)&amp;C2&amp;D2</f>
        <v>1460Demo</v>
      </c>
      <c r="C2" s="284">
        <v>460.0</v>
      </c>
      <c r="D2" s="54" t="s">
        <v>365</v>
      </c>
      <c r="E2" s="55">
        <v>45905.0</v>
      </c>
      <c r="F2" s="56"/>
      <c r="G2" s="57" t="s">
        <v>366</v>
      </c>
      <c r="H2" s="99"/>
      <c r="I2" s="58" t="s">
        <v>116</v>
      </c>
      <c r="J2" s="59"/>
      <c r="K2" s="60"/>
      <c r="L2" s="61"/>
      <c r="M2" s="62" t="s">
        <v>117</v>
      </c>
      <c r="N2" s="55">
        <v>45905.0</v>
      </c>
      <c r="O2" s="62" t="s">
        <v>118</v>
      </c>
      <c r="P2" s="64"/>
      <c r="Q2" s="65"/>
      <c r="R2" s="65">
        <v>20.0</v>
      </c>
      <c r="S2" s="66">
        <v>1.0</v>
      </c>
      <c r="T2" s="67"/>
      <c r="U2" s="68"/>
      <c r="V2" s="68"/>
    </row>
    <row r="3">
      <c r="A3" s="53"/>
      <c r="B3" s="53" t="str">
        <f t="shared" si="1"/>
        <v>2461Demo</v>
      </c>
      <c r="C3" s="284">
        <v>461.0</v>
      </c>
      <c r="D3" s="54" t="s">
        <v>365</v>
      </c>
      <c r="E3" s="55">
        <v>45905.0</v>
      </c>
      <c r="F3" s="68"/>
      <c r="G3" s="57" t="s">
        <v>366</v>
      </c>
      <c r="H3" s="99"/>
      <c r="I3" s="58" t="s">
        <v>116</v>
      </c>
      <c r="J3" s="70"/>
      <c r="K3" s="70"/>
      <c r="L3" s="71"/>
      <c r="M3" s="62" t="s">
        <v>117</v>
      </c>
      <c r="N3" s="55">
        <v>45905.0</v>
      </c>
      <c r="O3" s="66" t="s">
        <v>118</v>
      </c>
      <c r="P3" s="68"/>
      <c r="Q3" s="65"/>
      <c r="R3" s="65">
        <v>20.0</v>
      </c>
      <c r="S3" s="62">
        <v>1.0</v>
      </c>
      <c r="T3" s="68"/>
      <c r="U3" s="68"/>
      <c r="V3" s="68"/>
    </row>
    <row r="4">
      <c r="A4" s="53"/>
      <c r="B4" s="53" t="str">
        <f t="shared" si="1"/>
        <v>3462Demo</v>
      </c>
      <c r="C4" s="284">
        <v>462.0</v>
      </c>
      <c r="D4" s="54" t="s">
        <v>365</v>
      </c>
      <c r="E4" s="55">
        <v>45905.0</v>
      </c>
      <c r="F4" s="68"/>
      <c r="G4" s="57" t="s">
        <v>366</v>
      </c>
      <c r="H4" s="99"/>
      <c r="I4" s="58" t="s">
        <v>116</v>
      </c>
      <c r="J4" s="70"/>
      <c r="K4" s="70"/>
      <c r="L4" s="71"/>
      <c r="M4" s="62" t="s">
        <v>117</v>
      </c>
      <c r="N4" s="55">
        <v>45905.0</v>
      </c>
      <c r="O4" s="66" t="s">
        <v>118</v>
      </c>
      <c r="P4" s="68"/>
      <c r="Q4" s="65"/>
      <c r="R4" s="65">
        <v>20.0</v>
      </c>
      <c r="S4" s="62">
        <v>1.0</v>
      </c>
      <c r="T4" s="68"/>
      <c r="U4" s="68"/>
      <c r="V4" s="68"/>
    </row>
    <row r="5">
      <c r="A5" s="53"/>
      <c r="B5" s="53" t="str">
        <f t="shared" si="1"/>
        <v>4463Demo</v>
      </c>
      <c r="C5" s="284">
        <v>463.0</v>
      </c>
      <c r="D5" s="54" t="s">
        <v>365</v>
      </c>
      <c r="E5" s="55">
        <v>45905.0</v>
      </c>
      <c r="F5" s="68"/>
      <c r="G5" s="57" t="s">
        <v>366</v>
      </c>
      <c r="H5" s="99"/>
      <c r="I5" s="58" t="s">
        <v>116</v>
      </c>
      <c r="J5" s="70"/>
      <c r="K5" s="70"/>
      <c r="L5" s="71"/>
      <c r="M5" s="62" t="s">
        <v>117</v>
      </c>
      <c r="N5" s="55">
        <v>45905.0</v>
      </c>
      <c r="O5" s="66" t="s">
        <v>118</v>
      </c>
      <c r="P5" s="68"/>
      <c r="Q5" s="65"/>
      <c r="R5" s="65">
        <v>20.0</v>
      </c>
      <c r="S5" s="62">
        <v>1.0</v>
      </c>
      <c r="T5" s="68"/>
      <c r="U5" s="68"/>
      <c r="V5" s="68"/>
    </row>
    <row r="6">
      <c r="A6" s="53"/>
      <c r="B6" s="53" t="str">
        <f t="shared" si="1"/>
        <v>5464Demo</v>
      </c>
      <c r="C6" s="284">
        <v>464.0</v>
      </c>
      <c r="D6" s="54" t="s">
        <v>365</v>
      </c>
      <c r="E6" s="55">
        <v>45905.0</v>
      </c>
      <c r="F6" s="68"/>
      <c r="G6" s="57" t="s">
        <v>366</v>
      </c>
      <c r="H6" s="99"/>
      <c r="I6" s="58" t="s">
        <v>116</v>
      </c>
      <c r="J6" s="70"/>
      <c r="K6" s="70"/>
      <c r="L6" s="71"/>
      <c r="M6" s="62" t="s">
        <v>117</v>
      </c>
      <c r="N6" s="55">
        <v>45905.0</v>
      </c>
      <c r="O6" s="66" t="s">
        <v>118</v>
      </c>
      <c r="P6" s="68"/>
      <c r="Q6" s="65"/>
      <c r="R6" s="65">
        <v>20.0</v>
      </c>
      <c r="S6" s="62">
        <v>1.0</v>
      </c>
      <c r="T6" s="68"/>
      <c r="U6" s="68"/>
      <c r="V6" s="68"/>
    </row>
    <row r="7">
      <c r="A7" s="53"/>
      <c r="B7" s="53" t="str">
        <f t="shared" si="1"/>
        <v>6465Demo</v>
      </c>
      <c r="C7" s="284">
        <v>465.0</v>
      </c>
      <c r="D7" s="54" t="s">
        <v>365</v>
      </c>
      <c r="E7" s="55">
        <v>45905.0</v>
      </c>
      <c r="F7" s="68"/>
      <c r="G7" s="57" t="s">
        <v>366</v>
      </c>
      <c r="H7" s="99"/>
      <c r="I7" s="58" t="s">
        <v>116</v>
      </c>
      <c r="J7" s="70"/>
      <c r="K7" s="70"/>
      <c r="L7" s="71"/>
      <c r="M7" s="62" t="s">
        <v>117</v>
      </c>
      <c r="N7" s="55">
        <v>45905.0</v>
      </c>
      <c r="O7" s="66" t="s">
        <v>118</v>
      </c>
      <c r="P7" s="68"/>
      <c r="Q7" s="65"/>
      <c r="R7" s="65">
        <v>20.0</v>
      </c>
      <c r="S7" s="62">
        <v>1.0</v>
      </c>
      <c r="T7" s="68"/>
      <c r="U7" s="68"/>
      <c r="V7" s="68"/>
    </row>
    <row r="8">
      <c r="A8" s="68"/>
      <c r="B8" s="53" t="str">
        <f t="shared" si="1"/>
        <v>7464Demo</v>
      </c>
      <c r="C8" s="73">
        <v>464.0</v>
      </c>
      <c r="D8" s="90" t="s">
        <v>365</v>
      </c>
      <c r="E8" s="63">
        <v>45908.0</v>
      </c>
      <c r="F8" s="68"/>
      <c r="G8" s="68"/>
      <c r="H8" s="62" t="s">
        <v>367</v>
      </c>
      <c r="I8" s="62" t="s">
        <v>137</v>
      </c>
      <c r="J8" s="62" t="s">
        <v>129</v>
      </c>
      <c r="K8" s="62" t="s">
        <v>368</v>
      </c>
      <c r="L8" s="67" t="s">
        <v>369</v>
      </c>
      <c r="M8" s="62" t="s">
        <v>162</v>
      </c>
      <c r="N8" s="68"/>
      <c r="O8" s="62" t="s">
        <v>211</v>
      </c>
      <c r="P8" s="68"/>
      <c r="Q8" s="68"/>
      <c r="R8" s="68"/>
      <c r="S8" s="75"/>
      <c r="T8" s="68"/>
      <c r="U8" s="68"/>
      <c r="V8" s="68"/>
    </row>
    <row r="9">
      <c r="A9" s="68"/>
      <c r="B9" s="53" t="str">
        <f t="shared" si="1"/>
        <v>8461Demo</v>
      </c>
      <c r="C9" s="73">
        <v>461.0</v>
      </c>
      <c r="D9" s="90" t="s">
        <v>365</v>
      </c>
      <c r="E9" s="63">
        <v>45908.0</v>
      </c>
      <c r="F9" s="68"/>
      <c r="G9" s="68"/>
      <c r="H9" s="62" t="s">
        <v>370</v>
      </c>
      <c r="I9" s="62" t="s">
        <v>137</v>
      </c>
      <c r="J9" s="62" t="s">
        <v>125</v>
      </c>
      <c r="K9" s="62" t="s">
        <v>152</v>
      </c>
      <c r="L9" s="67" t="s">
        <v>371</v>
      </c>
      <c r="M9" s="62" t="s">
        <v>162</v>
      </c>
      <c r="N9" s="68"/>
      <c r="O9" s="75"/>
      <c r="P9" s="68"/>
      <c r="Q9" s="68"/>
      <c r="R9" s="68"/>
      <c r="S9" s="75"/>
      <c r="T9" s="68"/>
      <c r="U9" s="68"/>
      <c r="V9" s="68"/>
    </row>
    <row r="10">
      <c r="A10" s="68"/>
      <c r="B10" s="53" t="str">
        <f t="shared" si="1"/>
        <v>9460Demo</v>
      </c>
      <c r="C10" s="73">
        <v>460.0</v>
      </c>
      <c r="D10" s="90" t="s">
        <v>365</v>
      </c>
      <c r="E10" s="63">
        <v>45909.0</v>
      </c>
      <c r="F10" s="68"/>
      <c r="G10" s="68"/>
      <c r="H10" s="62" t="s">
        <v>370</v>
      </c>
      <c r="I10" s="62" t="s">
        <v>124</v>
      </c>
      <c r="J10" s="62" t="s">
        <v>194</v>
      </c>
      <c r="K10" s="62" t="s">
        <v>195</v>
      </c>
      <c r="L10" s="67" t="s">
        <v>372</v>
      </c>
      <c r="M10" s="62" t="s">
        <v>373</v>
      </c>
      <c r="N10" s="68"/>
      <c r="O10" s="75"/>
      <c r="P10" s="68"/>
      <c r="Q10" s="68"/>
      <c r="R10" s="68"/>
      <c r="S10" s="75"/>
      <c r="T10" s="68"/>
      <c r="U10" s="68"/>
      <c r="V10" s="68"/>
    </row>
    <row r="11">
      <c r="A11" s="68"/>
      <c r="B11" s="53" t="str">
        <f t="shared" si="1"/>
        <v>10Demo</v>
      </c>
      <c r="C11" s="76"/>
      <c r="D11" s="90" t="s">
        <v>365</v>
      </c>
      <c r="E11" s="63"/>
      <c r="F11" s="68"/>
      <c r="G11" s="68"/>
      <c r="H11" s="75"/>
      <c r="I11" s="75"/>
      <c r="J11" s="75"/>
      <c r="K11" s="75"/>
      <c r="L11" s="117"/>
      <c r="M11" s="75"/>
      <c r="N11" s="68"/>
      <c r="O11" s="75"/>
      <c r="P11" s="68"/>
      <c r="Q11" s="68"/>
      <c r="R11" s="68"/>
      <c r="S11" s="75"/>
      <c r="T11" s="68"/>
      <c r="U11" s="68"/>
      <c r="V11" s="68"/>
    </row>
    <row r="12">
      <c r="A12" s="68"/>
      <c r="B12" s="53" t="str">
        <f t="shared" si="1"/>
        <v>11Demo</v>
      </c>
      <c r="C12" s="76"/>
      <c r="D12" s="90" t="s">
        <v>365</v>
      </c>
      <c r="E12" s="63"/>
      <c r="F12" s="68"/>
      <c r="G12" s="68"/>
      <c r="H12" s="75"/>
      <c r="I12" s="75"/>
      <c r="J12" s="75"/>
      <c r="K12" s="75"/>
      <c r="L12" s="117"/>
      <c r="M12" s="75"/>
      <c r="N12" s="68"/>
      <c r="O12" s="75"/>
      <c r="P12" s="68"/>
      <c r="Q12" s="68"/>
      <c r="R12" s="68"/>
      <c r="S12" s="75"/>
      <c r="T12" s="68"/>
      <c r="U12" s="68"/>
      <c r="V12" s="68"/>
    </row>
    <row r="13">
      <c r="A13" s="68"/>
      <c r="B13" s="53" t="str">
        <f t="shared" si="1"/>
        <v>12Demo</v>
      </c>
      <c r="C13" s="76"/>
      <c r="D13" s="90" t="s">
        <v>365</v>
      </c>
      <c r="E13" s="63"/>
      <c r="F13" s="68"/>
      <c r="G13" s="68"/>
      <c r="H13" s="75"/>
      <c r="I13" s="75"/>
      <c r="J13" s="75"/>
      <c r="K13" s="75"/>
      <c r="L13" s="117"/>
      <c r="M13" s="75"/>
      <c r="N13" s="68"/>
      <c r="O13" s="75"/>
      <c r="P13" s="68"/>
      <c r="Q13" s="68"/>
      <c r="R13" s="68"/>
      <c r="S13" s="75"/>
      <c r="T13" s="68"/>
      <c r="U13" s="68"/>
      <c r="V13" s="68"/>
    </row>
  </sheetData>
  <dataValidations>
    <dataValidation type="list" allowBlank="1" sqref="I2:I13">
      <formula1>"Campaign,Service,Deployment"</formula1>
    </dataValidation>
    <dataValidation type="list" allowBlank="1" sqref="S2:S13">
      <formula1>"1,2,3"</formula1>
    </dataValidation>
    <dataValidation type="list" allowBlank="1" sqref="M2:M13">
      <formula1>"Complete,Scheduled,In Process"</formula1>
    </dataValidation>
    <dataValidation type="list" allowBlank="1" sqref="H2:H13">
      <formula1>"Critical,Non-critical"</formula1>
    </dataValidation>
    <dataValidation type="custom" allowBlank="1" showDropDown="1" sqref="C2:C13">
      <formula1>AND(ISNUMBER(C2),(NOT(OR(NOT(ISERROR(DATEVALUE(C2))), AND(ISNUMBER(C2), LEFT(CELL("format", C2))="D")))))</formula1>
    </dataValidation>
    <dataValidation type="list" allowBlank="1" sqref="K2:K13">
      <formula1>"Handle,Firmware,E-Stops,Blue Safety Light,HMI,PM,RGo,Motor,SLA System,Battery,SICK Safety System,Aesthetic"</formula1>
    </dataValidation>
    <dataValidation type="list" allowBlank="1" sqref="J2:J13">
      <formula1>"Top Module,Platform,Platform, Top Module,Preventative Maintenance,Battery"</formula1>
    </dataValidation>
    <dataValidation type="list" allowBlank="1" sqref="O2:O13">
      <formula1>"In Service,Out of Service"</formula1>
    </dataValidation>
  </dataValidations>
  <drawing r:id="rId1"/>
  <tableParts count="1">
    <tablePart r:id="rId3"/>
  </tableParts>
</worksheet>
</file>